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Unit Economics" sheetId="2" state="visible" r:id="rId4"/>
    <sheet name="Daily Log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Costs: Printify catalog, provider Printify Choice, retrieved 2026-10-08 (blueprints 1626 blanket 52x37 $28.85 + $10.39 ship; 2737 hardcover book 8x8 $11.42 + $6.19 ship, +$2.40 additional item). Uptake % are assumptions; replace with real data.</t>
        </r>
      </text>
    </comment>
  </commentList>
</comments>
</file>

<file path=xl/sharedStrings.xml><?xml version="1.0" encoding="utf-8"?>
<sst xmlns="http://schemas.openxmlformats.org/spreadsheetml/2006/main" count="64" uniqueCount="61">
  <si>
    <t xml:space="preserve">How to use this tracker</t>
  </si>
  <si>
    <t xml:space="preserve">1. Unit Economics: fill the yellow cells (blue text) for each product with real supplier prices. Everything black is calculated.</t>
  </si>
  <si>
    <t xml:space="preserve">2. Daily Log: one row per product per channel per day. Fill the blue columns (A-L) from Instagram/YouTube/Pinterest, Shopify, Meta Ads Manager and your supplier orders. Grey columns calculate.</t>
  </si>
  <si>
    <t xml:space="preserve">3. Row 2 of the Daily Log is an EXAMPLE row with made-up numbers. Delete it once you start.</t>
  </si>
  <si>
    <t xml:space="preserve">Decision rules (from ADS.md): stop an ad at 2x break-even CPA with 0 purchases; scale 20-30% every 2 days while CPA &lt; target CPA.</t>
  </si>
  <si>
    <t xml:space="preserve">Fees assumption: PayPal ~4.4% + $0.30 per order, plus Shopify 2% third-party gateway fee (Basic plan). Check current rates on PayPal and Shopify pricing pages.</t>
  </si>
  <si>
    <t xml:space="preserve">Meta ads billed in India carry 18% GST (claimable only if GST-registered).</t>
  </si>
  <si>
    <t xml:space="preserve">Metric</t>
  </si>
  <si>
    <t xml:space="preserve">Product 1</t>
  </si>
  <si>
    <t xml:space="preserve">Product 2</t>
  </si>
  <si>
    <t xml:space="preserve">Product 3</t>
  </si>
  <si>
    <t xml:space="preserve">Product name</t>
  </si>
  <si>
    <t xml:space="preserve">Woven blanket</t>
  </si>
  <si>
    <t xml:space="preserve">Storybook</t>
  </si>
  <si>
    <t xml:space="preserve">Gift set (bundle)</t>
  </si>
  <si>
    <t xml:space="preserve">Single price ($)</t>
  </si>
  <si>
    <t xml:space="preserve">Product cost single ($)</t>
  </si>
  <si>
    <t xml:space="preserve">US shipping single ($)</t>
  </si>
  <si>
    <t xml:space="preserve">Upgrade price ($): bundle for blanket, +2nd copy for book</t>
  </si>
  <si>
    <t xml:space="preserve">Product cost upgrade ($)</t>
  </si>
  <si>
    <t xml:space="preserve">US shipping upgrade ($)</t>
  </si>
  <si>
    <t xml:space="preserve">Upgrade uptake (% of orders, assumption)</t>
  </si>
  <si>
    <t xml:space="preserve">Payment+platform fee (%)</t>
  </si>
  <si>
    <t xml:space="preserve">Fixed fee per order ($)</t>
  </si>
  <si>
    <t xml:space="preserve">GST on ads (%)</t>
  </si>
  <si>
    <t xml:space="preserve">Target profit per order ($)</t>
  </si>
  <si>
    <t xml:space="preserve">Margin single ($)</t>
  </si>
  <si>
    <t xml:space="preserve">Margin bundle ($)</t>
  </si>
  <si>
    <t xml:space="preserve">Blended margin ($)</t>
  </si>
  <si>
    <t xml:space="preserve">Blended avg order ($)</t>
  </si>
  <si>
    <t xml:space="preserve">Break-even CPA (as shown in Meta, pre-GST) ($)</t>
  </si>
  <si>
    <t xml:space="preserve">Target CPA (as shown in Meta, pre-GST) ($)</t>
  </si>
  <si>
    <t xml:space="preserve">Break-even ROAS (Meta, pre-GST)</t>
  </si>
  <si>
    <t xml:space="preserve">Target ROAS</t>
  </si>
  <si>
    <t xml:space="preserve">Date</t>
  </si>
  <si>
    <t xml:space="preserve">Product (1/2/3)</t>
  </si>
  <si>
    <t xml:space="preserve">Channel</t>
  </si>
  <si>
    <t xml:space="preserve">Video/ad name</t>
  </si>
  <si>
    <t xml:space="preserve">Views / impressions</t>
  </si>
  <si>
    <t xml:space="preserve">Link clicks</t>
  </si>
  <si>
    <t xml:space="preserve">Store sessions</t>
  </si>
  <si>
    <t xml:space="preserve">Add to carts</t>
  </si>
  <si>
    <t xml:space="preserve">Orders</t>
  </si>
  <si>
    <t xml:space="preserve">Revenue ($)</t>
  </si>
  <si>
    <t xml:space="preserve">Ad spend ($, Meta pre-GST)</t>
  </si>
  <si>
    <t xml:space="preserve">Supplier cost for these orders ($)</t>
  </si>
  <si>
    <t xml:space="preserve">CTR</t>
  </si>
  <si>
    <t xml:space="preserve">Store conversion</t>
  </si>
  <si>
    <t xml:space="preserve">Cost per order (Meta, pre-GST) ($)</t>
  </si>
  <si>
    <t xml:space="preserve">ROAS</t>
  </si>
  <si>
    <t xml:space="preserve">Gross margin ($)</t>
  </si>
  <si>
    <t xml:space="preserve">Profit after ads incl. GST ($)</t>
  </si>
  <si>
    <t xml:space="preserve">Status vs break-even</t>
  </si>
  <si>
    <t xml:space="preserve">2026-10-20</t>
  </si>
  <si>
    <t xml:space="preserve">Instagram Reels</t>
  </si>
  <si>
    <t xml:space="preserve">1A transformation</t>
  </si>
  <si>
    <t xml:space="preserve">Totals by product</t>
  </si>
  <si>
    <t xml:space="preserve">Product</t>
  </si>
  <si>
    <t xml:space="preserve">Ad spend ($)</t>
  </si>
  <si>
    <t xml:space="preserve">Profit after ads ($)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</si>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</sst>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0.00\x"/>
    <numFmt numFmtId="168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5" customFormat="false" ht="15" hidden="false" customHeight="true" outlineLevel="0" collapsed="false">
      <c r="A5" s="3" t="s">
        <v>4</v>
      </c>
    </row>
    <row r="6" customFormat="false" ht="15" hidden="false" customHeight="true" outlineLevel="0" collapsed="false">
      <c r="A6" s="3" t="s">
        <v>5</v>
      </c>
    </row>
    <row r="7" customFormat="false" ht="15" hidden="false" customHeight="true" outlineLevel="0" collapsed="false">
      <c r="A7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4"/>
  </cols>
  <sheetData>
    <row r="1" customFormat="false" ht="15" hidden="false" customHeight="true" outlineLevel="0" collapsed="false">
      <c r="A1" s="2" t="s">
        <v>7</v>
      </c>
      <c r="B1" s="4" t="s">
        <v>8</v>
      </c>
      <c r="C1" s="4" t="s">
        <v>9</v>
      </c>
      <c r="D1" s="4" t="s">
        <v>10</v>
      </c>
    </row>
    <row r="2" customFormat="false" ht="15" hidden="false" customHeight="true" outlineLevel="0" collapsed="false">
      <c r="A2" s="3" t="s">
        <v>11</v>
      </c>
      <c r="B2" s="5" t="s">
        <v>12</v>
      </c>
      <c r="C2" s="5" t="s">
        <v>13</v>
      </c>
      <c r="D2" s="5" t="s">
        <v>14</v>
      </c>
    </row>
    <row r="3" customFormat="false" ht="15" hidden="false" customHeight="true" outlineLevel="0" collapsed="false">
      <c r="A3" s="3" t="s">
        <v>15</v>
      </c>
      <c r="B3" s="6" t="n">
        <v>64</v>
      </c>
      <c r="C3" s="6" t="n">
        <v>42</v>
      </c>
      <c r="D3" s="6" t="n">
        <v>99</v>
      </c>
    </row>
    <row r="4" customFormat="false" ht="15" hidden="false" customHeight="true" outlineLevel="0" collapsed="false">
      <c r="A4" s="3" t="s">
        <v>16</v>
      </c>
      <c r="B4" s="6" t="n">
        <v>28.85</v>
      </c>
      <c r="C4" s="6" t="n">
        <v>11.42</v>
      </c>
      <c r="D4" s="6" t="n">
        <v>40.27</v>
      </c>
    </row>
    <row r="5" customFormat="false" ht="15" hidden="false" customHeight="true" outlineLevel="0" collapsed="false">
      <c r="A5" s="3" t="s">
        <v>17</v>
      </c>
      <c r="B5" s="6" t="n">
        <v>10.39</v>
      </c>
      <c r="C5" s="6" t="n">
        <v>6.19</v>
      </c>
      <c r="D5" s="6" t="n">
        <v>12.79</v>
      </c>
    </row>
    <row r="6" customFormat="false" ht="15" hidden="false" customHeight="true" outlineLevel="0" collapsed="false">
      <c r="A6" s="3" t="s">
        <v>18</v>
      </c>
      <c r="B6" s="6" t="n">
        <v>99</v>
      </c>
      <c r="C6" s="6" t="n">
        <v>61</v>
      </c>
      <c r="D6" s="6" t="n">
        <v>99</v>
      </c>
    </row>
    <row r="7" customFormat="false" ht="15" hidden="false" customHeight="true" outlineLevel="0" collapsed="false">
      <c r="A7" s="3" t="s">
        <v>19</v>
      </c>
      <c r="B7" s="6" t="n">
        <v>40.27</v>
      </c>
      <c r="C7" s="6" t="n">
        <v>22.84</v>
      </c>
      <c r="D7" s="6" t="n">
        <v>40.27</v>
      </c>
    </row>
    <row r="8" customFormat="false" ht="15" hidden="false" customHeight="true" outlineLevel="0" collapsed="false">
      <c r="A8" s="3" t="s">
        <v>20</v>
      </c>
      <c r="B8" s="6" t="n">
        <v>12.79</v>
      </c>
      <c r="C8" s="6" t="n">
        <v>8.59</v>
      </c>
      <c r="D8" s="6" t="n">
        <v>12.79</v>
      </c>
    </row>
    <row r="9" customFormat="false" ht="15" hidden="false" customHeight="true" outlineLevel="0" collapsed="false">
      <c r="A9" s="3" t="s">
        <v>21</v>
      </c>
      <c r="B9" s="7" t="n">
        <v>0.3</v>
      </c>
      <c r="C9" s="7" t="n">
        <v>0.2</v>
      </c>
      <c r="D9" s="7" t="n">
        <v>0</v>
      </c>
    </row>
    <row r="10" customFormat="false" ht="15" hidden="false" customHeight="true" outlineLevel="0" collapsed="false">
      <c r="A10" s="3" t="s">
        <v>22</v>
      </c>
      <c r="B10" s="7" t="n">
        <v>0.065</v>
      </c>
      <c r="C10" s="7" t="n">
        <v>0.065</v>
      </c>
      <c r="D10" s="7" t="n">
        <v>0.065</v>
      </c>
    </row>
    <row r="11" customFormat="false" ht="15" hidden="false" customHeight="true" outlineLevel="0" collapsed="false">
      <c r="A11" s="3" t="s">
        <v>23</v>
      </c>
      <c r="B11" s="6" t="n">
        <v>0.3</v>
      </c>
      <c r="C11" s="6" t="n">
        <v>0.3</v>
      </c>
      <c r="D11" s="6" t="n">
        <v>0.3</v>
      </c>
    </row>
    <row r="12" customFormat="false" ht="15" hidden="false" customHeight="true" outlineLevel="0" collapsed="false">
      <c r="A12" s="3" t="s">
        <v>24</v>
      </c>
      <c r="B12" s="7" t="n">
        <v>0.18</v>
      </c>
      <c r="C12" s="7" t="n">
        <v>0.18</v>
      </c>
      <c r="D12" s="7" t="n">
        <v>0.18</v>
      </c>
    </row>
    <row r="13" customFormat="false" ht="15" hidden="false" customHeight="true" outlineLevel="0" collapsed="false">
      <c r="A13" s="3" t="s">
        <v>25</v>
      </c>
      <c r="B13" s="6" t="n">
        <v>6</v>
      </c>
      <c r="C13" s="6" t="n">
        <v>6</v>
      </c>
      <c r="D13" s="6" t="n">
        <v>6</v>
      </c>
    </row>
    <row r="14" customFormat="false" ht="15" hidden="false" customHeight="true" outlineLevel="0" collapsed="false">
      <c r="A14" s="3" t="s">
        <v>26</v>
      </c>
      <c r="B14" s="8" t="n">
        <f aca="false">B3-B4-B5-B3*B10-B11</f>
        <v>20.3</v>
      </c>
      <c r="C14" s="8" t="n">
        <f aca="false">C3-C4-C5-C3*C10-C11</f>
        <v>21.36</v>
      </c>
      <c r="D14" s="8" t="n">
        <f aca="false">D3-D4-D5-D3*D10-D11</f>
        <v>39.205</v>
      </c>
    </row>
    <row r="15" customFormat="false" ht="15" hidden="false" customHeight="true" outlineLevel="0" collapsed="false">
      <c r="A15" s="3" t="s">
        <v>27</v>
      </c>
      <c r="B15" s="8" t="n">
        <f aca="false">B6-B7-B8-B6*B10-B11</f>
        <v>39.205</v>
      </c>
      <c r="C15" s="8" t="n">
        <f aca="false">C6-C7-C8-C6*C10-C11</f>
        <v>25.305</v>
      </c>
      <c r="D15" s="8" t="n">
        <f aca="false">D6-D7-D8-D6*D10-D11</f>
        <v>39.205</v>
      </c>
    </row>
    <row r="16" customFormat="false" ht="15" hidden="false" customHeight="true" outlineLevel="0" collapsed="false">
      <c r="A16" s="3" t="s">
        <v>28</v>
      </c>
      <c r="B16" s="8" t="n">
        <f aca="false">(1-B9)*B14+B9*B15</f>
        <v>25.9715</v>
      </c>
      <c r="C16" s="8" t="n">
        <f aca="false">(1-C9)*C14+C9*C15</f>
        <v>22.149</v>
      </c>
      <c r="D16" s="8" t="n">
        <f aca="false">(1-D9)*D14+D9*D15</f>
        <v>39.205</v>
      </c>
    </row>
    <row r="17" customFormat="false" ht="15" hidden="false" customHeight="true" outlineLevel="0" collapsed="false">
      <c r="A17" s="3" t="s">
        <v>29</v>
      </c>
      <c r="B17" s="8" t="n">
        <f aca="false">(1-B9)*B3+B9*B6</f>
        <v>74.5</v>
      </c>
      <c r="C17" s="8" t="n">
        <f aca="false">(1-C9)*C3+C9*C6</f>
        <v>45.8</v>
      </c>
      <c r="D17" s="8" t="n">
        <f aca="false">(1-D9)*D3+D9*D6</f>
        <v>99</v>
      </c>
    </row>
    <row r="18" customFormat="false" ht="15" hidden="false" customHeight="true" outlineLevel="0" collapsed="false">
      <c r="A18" s="3" t="s">
        <v>30</v>
      </c>
      <c r="B18" s="8" t="n">
        <f aca="false">B16/(1+B12)</f>
        <v>22.0097457627119</v>
      </c>
      <c r="C18" s="8" t="n">
        <f aca="false">C16/(1+C12)</f>
        <v>18.7703389830508</v>
      </c>
      <c r="D18" s="8" t="n">
        <f aca="false">D16/(1+D12)</f>
        <v>33.2245762711864</v>
      </c>
    </row>
    <row r="19" customFormat="false" ht="15" hidden="false" customHeight="true" outlineLevel="0" collapsed="false">
      <c r="A19" s="3" t="s">
        <v>31</v>
      </c>
      <c r="B19" s="8" t="n">
        <f aca="false">MAX(0,(B16-B13)/(1+B12))</f>
        <v>16.925</v>
      </c>
      <c r="C19" s="8" t="n">
        <f aca="false">MAX(0,(C16-C13)/(1+C12))</f>
        <v>13.685593220339</v>
      </c>
      <c r="D19" s="8" t="n">
        <f aca="false">MAX(0,(D16-D13)/(1+D12))</f>
        <v>28.1398305084746</v>
      </c>
    </row>
    <row r="20" customFormat="false" ht="15" hidden="false" customHeight="true" outlineLevel="0" collapsed="false">
      <c r="A20" s="3" t="s">
        <v>32</v>
      </c>
      <c r="B20" s="9" t="n">
        <f aca="false">IFERROR(B17/B18,0)</f>
        <v>3.38486417804131</v>
      </c>
      <c r="C20" s="9" t="n">
        <f aca="false">IFERROR(C17/C18,0)</f>
        <v>2.44001986545668</v>
      </c>
      <c r="D20" s="9" t="n">
        <f aca="false">IFERROR(D17/D18,0)</f>
        <v>2.97972197423798</v>
      </c>
    </row>
    <row r="21" customFormat="false" ht="15" hidden="false" customHeight="true" outlineLevel="0" collapsed="false">
      <c r="A21" s="3" t="s">
        <v>33</v>
      </c>
      <c r="B21" s="9" t="n">
        <f aca="false">IFERROR(B17/B19,0)</f>
        <v>4.40177252584934</v>
      </c>
      <c r="C21" s="9" t="n">
        <f aca="false">IFERROR(C17/C19,0)</f>
        <v>3.34658492785931</v>
      </c>
      <c r="D21" s="9" t="n">
        <f aca="false">IFERROR(D17/D19,0)</f>
        <v>3.51814485770215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8" min="6" style="1" width="10"/>
    <col collapsed="false" customWidth="true" hidden="false" outlineLevel="0" max="9" min="9" style="1" width="8"/>
    <col collapsed="false" customWidth="true" hidden="false" outlineLevel="0" max="10" min="10" style="1" width="11"/>
    <col collapsed="false" customWidth="true" hidden="false" outlineLevel="0" max="12" min="11" style="1" width="13"/>
    <col collapsed="false" customWidth="true" hidden="false" outlineLevel="0" max="13" min="13" style="1" width="8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9" min="18" style="1" width="14"/>
  </cols>
  <sheetData>
    <row r="1" customFormat="false" ht="51.75" hidden="false" customHeight="true" outlineLevel="0" collapsed="false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1" t="s">
        <v>46</v>
      </c>
      <c r="N1" s="11" t="s">
        <v>47</v>
      </c>
      <c r="O1" s="11" t="s">
        <v>48</v>
      </c>
      <c r="P1" s="11" t="s">
        <v>49</v>
      </c>
      <c r="Q1" s="11" t="s">
        <v>50</v>
      </c>
      <c r="R1" s="11" t="s">
        <v>51</v>
      </c>
      <c r="S1" s="11" t="s">
        <v>52</v>
      </c>
    </row>
    <row r="2" customFormat="false" ht="15" hidden="false" customHeight="true" outlineLevel="0" collapsed="false">
      <c r="A2" s="12" t="s">
        <v>53</v>
      </c>
      <c r="B2" s="12" t="n">
        <v>1</v>
      </c>
      <c r="C2" s="12" t="s">
        <v>54</v>
      </c>
      <c r="D2" s="12" t="s">
        <v>55</v>
      </c>
      <c r="E2" s="12" t="n">
        <v>12000</v>
      </c>
      <c r="F2" s="12" t="n">
        <v>140</v>
      </c>
      <c r="G2" s="12" t="n">
        <v>120</v>
      </c>
      <c r="H2" s="12" t="n">
        <v>6</v>
      </c>
      <c r="I2" s="12" t="n">
        <v>1</v>
      </c>
      <c r="J2" s="13" t="n">
        <v>64</v>
      </c>
      <c r="K2" s="13" t="n">
        <v>0</v>
      </c>
      <c r="L2" s="13" t="n">
        <v>39.24</v>
      </c>
      <c r="M2" s="14" t="n">
        <f aca="false">IF(E2&gt;0,F2/E2,"")</f>
        <v>0.0116666666666667</v>
      </c>
      <c r="N2" s="14" t="n">
        <f aca="false">IF(G2&gt;0,I2/G2,"")</f>
        <v>0.00833333333333333</v>
      </c>
      <c r="O2" s="8" t="str">
        <f aca="false">IF(AND(I2&gt;0,K2&gt;0),K2/I2,"")</f>
        <v/>
      </c>
      <c r="P2" s="9" t="str">
        <f aca="false">IF(K2&gt;0,J2/K2,"")</f>
        <v/>
      </c>
      <c r="Q2" s="8" t="n">
        <f aca="false">IF(B2="","",J2-J2*INDEX('Unit Economics'!$B$10:$D$10,1,B2)-I2*INDEX('Unit Economics'!$B$11:$D$11,1,B2)-L2)</f>
        <v>20.3</v>
      </c>
      <c r="R2" s="8" t="n">
        <f aca="false">IF(B2="","",Q2-K2*(1+INDEX('Unit Economics'!$B$12:$D$12,1,B2)))</f>
        <v>20.3</v>
      </c>
      <c r="S2" s="3" t="str">
        <f aca="false">IF(O2="","",IF(O2&lt;=INDEX('Unit Economics'!$B$19:$D$19,1,B2),"Scale",IF(O2&lt;=INDEX('Unit Economics'!$B$18:$D$18,1,B2),"Keep","Losing money")))</f>
        <v/>
      </c>
    </row>
    <row r="3" customFormat="false" ht="15" hidden="false" customHeight="true" outlineLevel="0" collapsed="false">
      <c r="J3" s="15"/>
      <c r="K3" s="15"/>
      <c r="L3" s="15"/>
      <c r="M3" s="14" t="str">
        <f aca="false">IF(E3&gt;0,F3/E3,"")</f>
        <v/>
      </c>
      <c r="N3" s="14" t="str">
        <f aca="false">IF(G3&gt;0,I3/G3,"")</f>
        <v/>
      </c>
      <c r="O3" s="8" t="str">
        <f aca="false">IF(AND(I3&gt;0,K3&gt;0),K3/I3,"")</f>
        <v/>
      </c>
      <c r="P3" s="9" t="str">
        <f aca="false">IF(K3&gt;0,J3/K3,"")</f>
        <v/>
      </c>
      <c r="Q3" s="8" t="str">
        <f aca="false">IF(B3="","",J3-J3*INDEX('Unit Economics'!$B$10:$D$10,1,B3)-I3*INDEX('Unit Economics'!$B$11:$D$11,1,B3)-L3)</f>
        <v/>
      </c>
      <c r="R3" s="8" t="str">
        <f aca="false">IF(B3="","",Q3-K3*(1+INDEX('Unit Economics'!$B$12:$D$12,1,B3)))</f>
        <v/>
      </c>
      <c r="S3" s="3" t="str">
        <f aca="false">IF(O3="","",IF(O3&lt;=INDEX('Unit Economics'!$B$19:$D$19,1,B3),"Scale",IF(O3&lt;=INDEX('Unit Economics'!$B$18:$D$18,1,B3),"Keep","Losing money")))</f>
        <v/>
      </c>
    </row>
    <row r="4" customFormat="false" ht="15" hidden="false" customHeight="true" outlineLevel="0" collapsed="false">
      <c r="J4" s="15"/>
      <c r="K4" s="15"/>
      <c r="L4" s="15"/>
      <c r="M4" s="14" t="str">
        <f aca="false">IF(E4&gt;0,F4/E4,"")</f>
        <v/>
      </c>
      <c r="N4" s="14" t="str">
        <f aca="false">IF(G4&gt;0,I4/G4,"")</f>
        <v/>
      </c>
      <c r="O4" s="8" t="str">
        <f aca="false">IF(AND(I4&gt;0,K4&gt;0),K4/I4,"")</f>
        <v/>
      </c>
      <c r="P4" s="9" t="str">
        <f aca="false">IF(K4&gt;0,J4/K4,"")</f>
        <v/>
      </c>
      <c r="Q4" s="8" t="str">
        <f aca="false">IF(B4="","",J4-J4*INDEX('Unit Economics'!$B$10:$D$10,1,B4)-I4*INDEX('Unit Economics'!$B$11:$D$11,1,B4)-L4)</f>
        <v/>
      </c>
      <c r="R4" s="8" t="str">
        <f aca="false">IF(B4="","",Q4-K4*(1+INDEX('Unit Economics'!$B$12:$D$12,1,B4)))</f>
        <v/>
      </c>
      <c r="S4" s="3" t="str">
        <f aca="false">IF(O4="","",IF(O4&lt;=INDEX('Unit Economics'!$B$19:$D$19,1,B4),"Scale",IF(O4&lt;=INDEX('Unit Economics'!$B$18:$D$18,1,B4),"Keep","Losing money")))</f>
        <v/>
      </c>
    </row>
    <row r="5" customFormat="false" ht="15" hidden="false" customHeight="true" outlineLevel="0" collapsed="false">
      <c r="J5" s="15"/>
      <c r="K5" s="15"/>
      <c r="L5" s="15"/>
      <c r="M5" s="14" t="str">
        <f aca="false">IF(E5&gt;0,F5/E5,"")</f>
        <v/>
      </c>
      <c r="N5" s="14" t="str">
        <f aca="false">IF(G5&gt;0,I5/G5,"")</f>
        <v/>
      </c>
      <c r="O5" s="8" t="str">
        <f aca="false">IF(AND(I5&gt;0,K5&gt;0),K5/I5,"")</f>
        <v/>
      </c>
      <c r="P5" s="9" t="str">
        <f aca="false">IF(K5&gt;0,J5/K5,"")</f>
        <v/>
      </c>
      <c r="Q5" s="8" t="str">
        <f aca="false">IF(B5="","",J5-J5*INDEX('Unit Economics'!$B$10:$D$10,1,B5)-I5*INDEX('Unit Economics'!$B$11:$D$11,1,B5)-L5)</f>
        <v/>
      </c>
      <c r="R5" s="8" t="str">
        <f aca="false">IF(B5="","",Q5-K5*(1+INDEX('Unit Economics'!$B$12:$D$12,1,B5)))</f>
        <v/>
      </c>
      <c r="S5" s="3" t="str">
        <f aca="false">IF(O5="","",IF(O5&lt;=INDEX('Unit Economics'!$B$19:$D$19,1,B5),"Scale",IF(O5&lt;=INDEX('Unit Economics'!$B$18:$D$18,1,B5),"Keep","Losing money")))</f>
        <v/>
      </c>
    </row>
    <row r="6" customFormat="false" ht="15" hidden="false" customHeight="true" outlineLevel="0" collapsed="false">
      <c r="J6" s="15"/>
      <c r="K6" s="15"/>
      <c r="L6" s="15"/>
      <c r="M6" s="14" t="str">
        <f aca="false">IF(E6&gt;0,F6/E6,"")</f>
        <v/>
      </c>
      <c r="N6" s="14" t="str">
        <f aca="false">IF(G6&gt;0,I6/G6,"")</f>
        <v/>
      </c>
      <c r="O6" s="8" t="str">
        <f aca="false">IF(AND(I6&gt;0,K6&gt;0),K6/I6,"")</f>
        <v/>
      </c>
      <c r="P6" s="9" t="str">
        <f aca="false">IF(K6&gt;0,J6/K6,"")</f>
        <v/>
      </c>
      <c r="Q6" s="8" t="str">
        <f aca="false">IF(B6="","",J6-J6*INDEX('Unit Economics'!$B$10:$D$10,1,B6)-I6*INDEX('Unit Economics'!$B$11:$D$11,1,B6)-L6)</f>
        <v/>
      </c>
      <c r="R6" s="8" t="str">
        <f aca="false">IF(B6="","",Q6-K6*(1+INDEX('Unit Economics'!$B$12:$D$12,1,B6)))</f>
        <v/>
      </c>
      <c r="S6" s="3" t="str">
        <f aca="false">IF(O6="","",IF(O6&lt;=INDEX('Unit Economics'!$B$19:$D$19,1,B6),"Scale",IF(O6&lt;=INDEX('Unit Economics'!$B$18:$D$18,1,B6),"Keep","Losing money")))</f>
        <v/>
      </c>
    </row>
    <row r="7" customFormat="false" ht="15" hidden="false" customHeight="true" outlineLevel="0" collapsed="false">
      <c r="J7" s="15"/>
      <c r="K7" s="15"/>
      <c r="L7" s="15"/>
      <c r="M7" s="14" t="str">
        <f aca="false">IF(E7&gt;0,F7/E7,"")</f>
        <v/>
      </c>
      <c r="N7" s="14" t="str">
        <f aca="false">IF(G7&gt;0,I7/G7,"")</f>
        <v/>
      </c>
      <c r="O7" s="8" t="str">
        <f aca="false">IF(AND(I7&gt;0,K7&gt;0),K7/I7,"")</f>
        <v/>
      </c>
      <c r="P7" s="9" t="str">
        <f aca="false">IF(K7&gt;0,J7/K7,"")</f>
        <v/>
      </c>
      <c r="Q7" s="8" t="str">
        <f aca="false">IF(B7="","",J7-J7*INDEX('Unit Economics'!$B$10:$D$10,1,B7)-I7*INDEX('Unit Economics'!$B$11:$D$11,1,B7)-L7)</f>
        <v/>
      </c>
      <c r="R7" s="8" t="str">
        <f aca="false">IF(B7="","",Q7-K7*(1+INDEX('Unit Economics'!$B$12:$D$12,1,B7)))</f>
        <v/>
      </c>
      <c r="S7" s="3" t="str">
        <f aca="false">IF(O7="","",IF(O7&lt;=INDEX('Unit Economics'!$B$19:$D$19,1,B7),"Scale",IF(O7&lt;=INDEX('Unit Economics'!$B$18:$D$18,1,B7),"Keep","Losing money")))</f>
        <v/>
      </c>
    </row>
    <row r="8" customFormat="false" ht="15" hidden="false" customHeight="true" outlineLevel="0" collapsed="false">
      <c r="J8" s="15"/>
      <c r="K8" s="15"/>
      <c r="L8" s="15"/>
      <c r="M8" s="14" t="str">
        <f aca="false">IF(E8&gt;0,F8/E8,"")</f>
        <v/>
      </c>
      <c r="N8" s="14" t="str">
        <f aca="false">IF(G8&gt;0,I8/G8,"")</f>
        <v/>
      </c>
      <c r="O8" s="8" t="str">
        <f aca="false">IF(AND(I8&gt;0,K8&gt;0),K8/I8,"")</f>
        <v/>
      </c>
      <c r="P8" s="9" t="str">
        <f aca="false">IF(K8&gt;0,J8/K8,"")</f>
        <v/>
      </c>
      <c r="Q8" s="8" t="str">
        <f aca="false">IF(B8="","",J8-J8*INDEX('Unit Economics'!$B$10:$D$10,1,B8)-I8*INDEX('Unit Economics'!$B$11:$D$11,1,B8)-L8)</f>
        <v/>
      </c>
      <c r="R8" s="8" t="str">
        <f aca="false">IF(B8="","",Q8-K8*(1+INDEX('Unit Economics'!$B$12:$D$12,1,B8)))</f>
        <v/>
      </c>
      <c r="S8" s="3" t="str">
        <f aca="false">IF(O8="","",IF(O8&lt;=INDEX('Unit Economics'!$B$19:$D$19,1,B8),"Scale",IF(O8&lt;=INDEX('Unit Economics'!$B$18:$D$18,1,B8),"Keep","Losing money")))</f>
        <v/>
      </c>
    </row>
    <row r="9" customFormat="false" ht="15" hidden="false" customHeight="true" outlineLevel="0" collapsed="false">
      <c r="J9" s="15"/>
      <c r="K9" s="15"/>
      <c r="L9" s="15"/>
      <c r="M9" s="14" t="str">
        <f aca="false">IF(E9&gt;0,F9/E9,"")</f>
        <v/>
      </c>
      <c r="N9" s="14" t="str">
        <f aca="false">IF(G9&gt;0,I9/G9,"")</f>
        <v/>
      </c>
      <c r="O9" s="8" t="str">
        <f aca="false">IF(AND(I9&gt;0,K9&gt;0),K9/I9,"")</f>
        <v/>
      </c>
      <c r="P9" s="9" t="str">
        <f aca="false">IF(K9&gt;0,J9/K9,"")</f>
        <v/>
      </c>
      <c r="Q9" s="8" t="str">
        <f aca="false">IF(B9="","",J9-J9*INDEX('Unit Economics'!$B$10:$D$10,1,B9)-I9*INDEX('Unit Economics'!$B$11:$D$11,1,B9)-L9)</f>
        <v/>
      </c>
      <c r="R9" s="8" t="str">
        <f aca="false">IF(B9="","",Q9-K9*(1+INDEX('Unit Economics'!$B$12:$D$12,1,B9)))</f>
        <v/>
      </c>
      <c r="S9" s="3" t="str">
        <f aca="false">IF(O9="","",IF(O9&lt;=INDEX('Unit Economics'!$B$19:$D$19,1,B9),"Scale",IF(O9&lt;=INDEX('Unit Economics'!$B$18:$D$18,1,B9),"Keep","Losing money")))</f>
        <v/>
      </c>
    </row>
    <row r="10" customFormat="false" ht="15" hidden="false" customHeight="true" outlineLevel="0" collapsed="false">
      <c r="J10" s="15"/>
      <c r="K10" s="15"/>
      <c r="L10" s="15"/>
      <c r="M10" s="14" t="str">
        <f aca="false">IF(E10&gt;0,F10/E10,"")</f>
        <v/>
      </c>
      <c r="N10" s="14" t="str">
        <f aca="false">IF(G10&gt;0,I10/G10,"")</f>
        <v/>
      </c>
      <c r="O10" s="8" t="str">
        <f aca="false">IF(AND(I10&gt;0,K10&gt;0),K10/I10,"")</f>
        <v/>
      </c>
      <c r="P10" s="9" t="str">
        <f aca="false">IF(K10&gt;0,J10/K10,"")</f>
        <v/>
      </c>
      <c r="Q10" s="8" t="str">
        <f aca="false">IF(B10="","",J10-J10*INDEX('Unit Economics'!$B$10:$D$10,1,B10)-I10*INDEX('Unit Economics'!$B$11:$D$11,1,B10)-L10)</f>
        <v/>
      </c>
      <c r="R10" s="8" t="str">
        <f aca="false">IF(B10="","",Q10-K10*(1+INDEX('Unit Economics'!$B$12:$D$12,1,B10)))</f>
        <v/>
      </c>
      <c r="S10" s="3" t="str">
        <f aca="false">IF(O10="","",IF(O10&lt;=INDEX('Unit Economics'!$B$19:$D$19,1,B10),"Scale",IF(O10&lt;=INDEX('Unit Economics'!$B$18:$D$18,1,B10),"Keep","Losing money")))</f>
        <v/>
      </c>
    </row>
    <row r="11" customFormat="false" ht="15" hidden="false" customHeight="true" outlineLevel="0" collapsed="false">
      <c r="J11" s="15"/>
      <c r="K11" s="15"/>
      <c r="L11" s="15"/>
      <c r="M11" s="14" t="str">
        <f aca="false">IF(E11&gt;0,F11/E11,"")</f>
        <v/>
      </c>
      <c r="N11" s="14" t="str">
        <f aca="false">IF(G11&gt;0,I11/G11,"")</f>
        <v/>
      </c>
      <c r="O11" s="8" t="str">
        <f aca="false">IF(AND(I11&gt;0,K11&gt;0),K11/I11,"")</f>
        <v/>
      </c>
      <c r="P11" s="9" t="str">
        <f aca="false">IF(K11&gt;0,J11/K11,"")</f>
        <v/>
      </c>
      <c r="Q11" s="8" t="str">
        <f aca="false">IF(B11="","",J11-J11*INDEX('Unit Economics'!$B$10:$D$10,1,B11)-I11*INDEX('Unit Economics'!$B$11:$D$11,1,B11)-L11)</f>
        <v/>
      </c>
      <c r="R11" s="8" t="str">
        <f aca="false">IF(B11="","",Q11-K11*(1+INDEX('Unit Economics'!$B$12:$D$12,1,B11)))</f>
        <v/>
      </c>
      <c r="S11" s="3" t="str">
        <f aca="false">IF(O11="","",IF(O11&lt;=INDEX('Unit Economics'!$B$19:$D$19,1,B11),"Scale",IF(O11&lt;=INDEX('Unit Economics'!$B$18:$D$18,1,B11),"Keep","Losing money")))</f>
        <v/>
      </c>
    </row>
    <row r="12" customFormat="false" ht="15" hidden="false" customHeight="true" outlineLevel="0" collapsed="false">
      <c r="J12" s="15"/>
      <c r="K12" s="15"/>
      <c r="L12" s="15"/>
      <c r="M12" s="14" t="str">
        <f aca="false">IF(E12&gt;0,F12/E12,"")</f>
        <v/>
      </c>
      <c r="N12" s="14" t="str">
        <f aca="false">IF(G12&gt;0,I12/G12,"")</f>
        <v/>
      </c>
      <c r="O12" s="8" t="str">
        <f aca="false">IF(AND(I12&gt;0,K12&gt;0),K12/I12,"")</f>
        <v/>
      </c>
      <c r="P12" s="9" t="str">
        <f aca="false">IF(K12&gt;0,J12/K12,"")</f>
        <v/>
      </c>
      <c r="Q12" s="8" t="str">
        <f aca="false">IF(B12="","",J12-J12*INDEX('Unit Economics'!$B$10:$D$10,1,B12)-I12*INDEX('Unit Economics'!$B$11:$D$11,1,B12)-L12)</f>
        <v/>
      </c>
      <c r="R12" s="8" t="str">
        <f aca="false">IF(B12="","",Q12-K12*(1+INDEX('Unit Economics'!$B$12:$D$12,1,B12)))</f>
        <v/>
      </c>
      <c r="S12" s="3" t="str">
        <f aca="false">IF(O12="","",IF(O12&lt;=INDEX('Unit Economics'!$B$19:$D$19,1,B12),"Scale",IF(O12&lt;=INDEX('Unit Economics'!$B$18:$D$18,1,B12),"Keep","Losing money")))</f>
        <v/>
      </c>
    </row>
    <row r="13" customFormat="false" ht="15" hidden="false" customHeight="true" outlineLevel="0" collapsed="false">
      <c r="J13" s="15"/>
      <c r="K13" s="15"/>
      <c r="L13" s="15"/>
      <c r="M13" s="14" t="str">
        <f aca="false">IF(E13&gt;0,F13/E13,"")</f>
        <v/>
      </c>
      <c r="N13" s="14" t="str">
        <f aca="false">IF(G13&gt;0,I13/G13,"")</f>
        <v/>
      </c>
      <c r="O13" s="8" t="str">
        <f aca="false">IF(AND(I13&gt;0,K13&gt;0),K13/I13,"")</f>
        <v/>
      </c>
      <c r="P13" s="9" t="str">
        <f aca="false">IF(K13&gt;0,J13/K13,"")</f>
        <v/>
      </c>
      <c r="Q13" s="8" t="str">
        <f aca="false">IF(B13="","",J13-J13*INDEX('Unit Economics'!$B$10:$D$10,1,B13)-I13*INDEX('Unit Economics'!$B$11:$D$11,1,B13)-L13)</f>
        <v/>
      </c>
      <c r="R13" s="8" t="str">
        <f aca="false">IF(B13="","",Q13-K13*(1+INDEX('Unit Economics'!$B$12:$D$12,1,B13)))</f>
        <v/>
      </c>
      <c r="S13" s="3" t="str">
        <f aca="false">IF(O13="","",IF(O13&lt;=INDEX('Unit Economics'!$B$19:$D$19,1,B13),"Scale",IF(O13&lt;=INDEX('Unit Economics'!$B$18:$D$18,1,B13),"Keep","Losing money")))</f>
        <v/>
      </c>
    </row>
    <row r="14" customFormat="false" ht="15" hidden="false" customHeight="true" outlineLevel="0" collapsed="false">
      <c r="J14" s="15"/>
      <c r="K14" s="15"/>
      <c r="L14" s="15"/>
      <c r="M14" s="14" t="str">
        <f aca="false">IF(E14&gt;0,F14/E14,"")</f>
        <v/>
      </c>
      <c r="N14" s="14" t="str">
        <f aca="false">IF(G14&gt;0,I14/G14,"")</f>
        <v/>
      </c>
      <c r="O14" s="8" t="str">
        <f aca="false">IF(AND(I14&gt;0,K14&gt;0),K14/I14,"")</f>
        <v/>
      </c>
      <c r="P14" s="9" t="str">
        <f aca="false">IF(K14&gt;0,J14/K14,"")</f>
        <v/>
      </c>
      <c r="Q14" s="8" t="str">
        <f aca="false">IF(B14="","",J14-J14*INDEX('Unit Economics'!$B$10:$D$10,1,B14)-I14*INDEX('Unit Economics'!$B$11:$D$11,1,B14)-L14)</f>
        <v/>
      </c>
      <c r="R14" s="8" t="str">
        <f aca="false">IF(B14="","",Q14-K14*(1+INDEX('Unit Economics'!$B$12:$D$12,1,B14)))</f>
        <v/>
      </c>
      <c r="S14" s="3" t="str">
        <f aca="false">IF(O14="","",IF(O14&lt;=INDEX('Unit Economics'!$B$19:$D$19,1,B14),"Scale",IF(O14&lt;=INDEX('Unit Economics'!$B$18:$D$18,1,B14),"Keep","Losing money")))</f>
        <v/>
      </c>
    </row>
    <row r="15" customFormat="false" ht="15" hidden="false" customHeight="true" outlineLevel="0" collapsed="false">
      <c r="J15" s="15"/>
      <c r="K15" s="15"/>
      <c r="L15" s="15"/>
      <c r="M15" s="14" t="str">
        <f aca="false">IF(E15&gt;0,F15/E15,"")</f>
        <v/>
      </c>
      <c r="N15" s="14" t="str">
        <f aca="false">IF(G15&gt;0,I15/G15,"")</f>
        <v/>
      </c>
      <c r="O15" s="8" t="str">
        <f aca="false">IF(AND(I15&gt;0,K15&gt;0),K15/I15,"")</f>
        <v/>
      </c>
      <c r="P15" s="9" t="str">
        <f aca="false">IF(K15&gt;0,J15/K15,"")</f>
        <v/>
      </c>
      <c r="Q15" s="8" t="str">
        <f aca="false">IF(B15="","",J15-J15*INDEX('Unit Economics'!$B$10:$D$10,1,B15)-I15*INDEX('Unit Economics'!$B$11:$D$11,1,B15)-L15)</f>
        <v/>
      </c>
      <c r="R15" s="8" t="str">
        <f aca="false">IF(B15="","",Q15-K15*(1+INDEX('Unit Economics'!$B$12:$D$12,1,B15)))</f>
        <v/>
      </c>
      <c r="S15" s="3" t="str">
        <f aca="false">IF(O15="","",IF(O15&lt;=INDEX('Unit Economics'!$B$19:$D$19,1,B15),"Scale",IF(O15&lt;=INDEX('Unit Economics'!$B$18:$D$18,1,B15),"Keep","Losing money")))</f>
        <v/>
      </c>
    </row>
    <row r="16" customFormat="false" ht="15" hidden="false" customHeight="true" outlineLevel="0" collapsed="false">
      <c r="J16" s="15"/>
      <c r="K16" s="15"/>
      <c r="L16" s="15"/>
      <c r="M16" s="14" t="str">
        <f aca="false">IF(E16&gt;0,F16/E16,"")</f>
        <v/>
      </c>
      <c r="N16" s="14" t="str">
        <f aca="false">IF(G16&gt;0,I16/G16,"")</f>
        <v/>
      </c>
      <c r="O16" s="8" t="str">
        <f aca="false">IF(AND(I16&gt;0,K16&gt;0),K16/I16,"")</f>
        <v/>
      </c>
      <c r="P16" s="9" t="str">
        <f aca="false">IF(K16&gt;0,J16/K16,"")</f>
        <v/>
      </c>
      <c r="Q16" s="8" t="str">
        <f aca="false">IF(B16="","",J16-J16*INDEX('Unit Economics'!$B$10:$D$10,1,B16)-I16*INDEX('Unit Economics'!$B$11:$D$11,1,B16)-L16)</f>
        <v/>
      </c>
      <c r="R16" s="8" t="str">
        <f aca="false">IF(B16="","",Q16-K16*(1+INDEX('Unit Economics'!$B$12:$D$12,1,B16)))</f>
        <v/>
      </c>
      <c r="S16" s="3" t="str">
        <f aca="false">IF(O16="","",IF(O16&lt;=INDEX('Unit Economics'!$B$19:$D$19,1,B16),"Scale",IF(O16&lt;=INDEX('Unit Economics'!$B$18:$D$18,1,B16),"Keep","Losing money")))</f>
        <v/>
      </c>
    </row>
    <row r="17" customFormat="false" ht="15" hidden="false" customHeight="true" outlineLevel="0" collapsed="false">
      <c r="J17" s="15"/>
      <c r="K17" s="15"/>
      <c r="L17" s="15"/>
      <c r="M17" s="14" t="str">
        <f aca="false">IF(E17&gt;0,F17/E17,"")</f>
        <v/>
      </c>
      <c r="N17" s="14" t="str">
        <f aca="false">IF(G17&gt;0,I17/G17,"")</f>
        <v/>
      </c>
      <c r="O17" s="8" t="str">
        <f aca="false">IF(AND(I17&gt;0,K17&gt;0),K17/I17,"")</f>
        <v/>
      </c>
      <c r="P17" s="9" t="str">
        <f aca="false">IF(K17&gt;0,J17/K17,"")</f>
        <v/>
      </c>
      <c r="Q17" s="8" t="str">
        <f aca="false">IF(B17="","",J17-J17*INDEX('Unit Economics'!$B$10:$D$10,1,B17)-I17*INDEX('Unit Economics'!$B$11:$D$11,1,B17)-L17)</f>
        <v/>
      </c>
      <c r="R17" s="8" t="str">
        <f aca="false">IF(B17="","",Q17-K17*(1+INDEX('Unit Economics'!$B$12:$D$12,1,B17)))</f>
        <v/>
      </c>
      <c r="S17" s="3" t="str">
        <f aca="false">IF(O17="","",IF(O17&lt;=INDEX('Unit Economics'!$B$19:$D$19,1,B17),"Scale",IF(O17&lt;=INDEX('Unit Economics'!$B$18:$D$18,1,B17),"Keep","Losing money")))</f>
        <v/>
      </c>
    </row>
    <row r="18" customFormat="false" ht="15" hidden="false" customHeight="true" outlineLevel="0" collapsed="false">
      <c r="J18" s="15"/>
      <c r="K18" s="15"/>
      <c r="L18" s="15"/>
      <c r="M18" s="14" t="str">
        <f aca="false">IF(E18&gt;0,F18/E18,"")</f>
        <v/>
      </c>
      <c r="N18" s="14" t="str">
        <f aca="false">IF(G18&gt;0,I18/G18,"")</f>
        <v/>
      </c>
      <c r="O18" s="8" t="str">
        <f aca="false">IF(AND(I18&gt;0,K18&gt;0),K18/I18,"")</f>
        <v/>
      </c>
      <c r="P18" s="9" t="str">
        <f aca="false">IF(K18&gt;0,J18/K18,"")</f>
        <v/>
      </c>
      <c r="Q18" s="8" t="str">
        <f aca="false">IF(B18="","",J18-J18*INDEX('Unit Economics'!$B$10:$D$10,1,B18)-I18*INDEX('Unit Economics'!$B$11:$D$11,1,B18)-L18)</f>
        <v/>
      </c>
      <c r="R18" s="8" t="str">
        <f aca="false">IF(B18="","",Q18-K18*(1+INDEX('Unit Economics'!$B$12:$D$12,1,B18)))</f>
        <v/>
      </c>
      <c r="S18" s="3" t="str">
        <f aca="false">IF(O18="","",IF(O18&lt;=INDEX('Unit Economics'!$B$19:$D$19,1,B18),"Scale",IF(O18&lt;=INDEX('Unit Economics'!$B$18:$D$18,1,B18),"Keep","Losing money")))</f>
        <v/>
      </c>
    </row>
    <row r="19" customFormat="false" ht="15" hidden="false" customHeight="true" outlineLevel="0" collapsed="false">
      <c r="J19" s="15"/>
      <c r="K19" s="15"/>
      <c r="L19" s="15"/>
      <c r="M19" s="14" t="str">
        <f aca="false">IF(E19&gt;0,F19/E19,"")</f>
        <v/>
      </c>
      <c r="N19" s="14" t="str">
        <f aca="false">IF(G19&gt;0,I19/G19,"")</f>
        <v/>
      </c>
      <c r="O19" s="8" t="str">
        <f aca="false">IF(AND(I19&gt;0,K19&gt;0),K19/I19,"")</f>
        <v/>
      </c>
      <c r="P19" s="9" t="str">
        <f aca="false">IF(K19&gt;0,J19/K19,"")</f>
        <v/>
      </c>
      <c r="Q19" s="8" t="str">
        <f aca="false">IF(B19="","",J19-J19*INDEX('Unit Economics'!$B$10:$D$10,1,B19)-I19*INDEX('Unit Economics'!$B$11:$D$11,1,B19)-L19)</f>
        <v/>
      </c>
      <c r="R19" s="8" t="str">
        <f aca="false">IF(B19="","",Q19-K19*(1+INDEX('Unit Economics'!$B$12:$D$12,1,B19)))</f>
        <v/>
      </c>
      <c r="S19" s="3" t="str">
        <f aca="false">IF(O19="","",IF(O19&lt;=INDEX('Unit Economics'!$B$19:$D$19,1,B19),"Scale",IF(O19&lt;=INDEX('Unit Economics'!$B$18:$D$18,1,B19),"Keep","Losing money")))</f>
        <v/>
      </c>
    </row>
    <row r="20" customFormat="false" ht="15" hidden="false" customHeight="true" outlineLevel="0" collapsed="false">
      <c r="J20" s="15"/>
      <c r="K20" s="15"/>
      <c r="L20" s="15"/>
      <c r="M20" s="14" t="str">
        <f aca="false">IF(E20&gt;0,F20/E20,"")</f>
        <v/>
      </c>
      <c r="N20" s="14" t="str">
        <f aca="false">IF(G20&gt;0,I20/G20,"")</f>
        <v/>
      </c>
      <c r="O20" s="8" t="str">
        <f aca="false">IF(AND(I20&gt;0,K20&gt;0),K20/I20,"")</f>
        <v/>
      </c>
      <c r="P20" s="9" t="str">
        <f aca="false">IF(K20&gt;0,J20/K20,"")</f>
        <v/>
      </c>
      <c r="Q20" s="8" t="str">
        <f aca="false">IF(B20="","",J20-J20*INDEX('Unit Economics'!$B$10:$D$10,1,B20)-I20*INDEX('Unit Economics'!$B$11:$D$11,1,B20)-L20)</f>
        <v/>
      </c>
      <c r="R20" s="8" t="str">
        <f aca="false">IF(B20="","",Q20-K20*(1+INDEX('Unit Economics'!$B$12:$D$12,1,B20)))</f>
        <v/>
      </c>
      <c r="S20" s="3" t="str">
        <f aca="false">IF(O20="","",IF(O20&lt;=INDEX('Unit Economics'!$B$19:$D$19,1,B20),"Scale",IF(O20&lt;=INDEX('Unit Economics'!$B$18:$D$18,1,B20),"Keep","Losing money")))</f>
        <v/>
      </c>
    </row>
    <row r="21" customFormat="false" ht="15" hidden="false" customHeight="true" outlineLevel="0" collapsed="false">
      <c r="J21" s="15"/>
      <c r="K21" s="15"/>
      <c r="L21" s="15"/>
      <c r="M21" s="14" t="str">
        <f aca="false">IF(E21&gt;0,F21/E21,"")</f>
        <v/>
      </c>
      <c r="N21" s="14" t="str">
        <f aca="false">IF(G21&gt;0,I21/G21,"")</f>
        <v/>
      </c>
      <c r="O21" s="8" t="str">
        <f aca="false">IF(AND(I21&gt;0,K21&gt;0),K21/I21,"")</f>
        <v/>
      </c>
      <c r="P21" s="9" t="str">
        <f aca="false">IF(K21&gt;0,J21/K21,"")</f>
        <v/>
      </c>
      <c r="Q21" s="8" t="str">
        <f aca="false">IF(B21="","",J21-J21*INDEX('Unit Economics'!$B$10:$D$10,1,B21)-I21*INDEX('Unit Economics'!$B$11:$D$11,1,B21)-L21)</f>
        <v/>
      </c>
      <c r="R21" s="8" t="str">
        <f aca="false">IF(B21="","",Q21-K21*(1+INDEX('Unit Economics'!$B$12:$D$12,1,B21)))</f>
        <v/>
      </c>
      <c r="S21" s="3" t="str">
        <f aca="false">IF(O21="","",IF(O21&lt;=INDEX('Unit Economics'!$B$19:$D$19,1,B21),"Scale",IF(O21&lt;=INDEX('Unit Economics'!$B$18:$D$18,1,B21),"Keep","Losing money")))</f>
        <v/>
      </c>
    </row>
    <row r="22" customFormat="false" ht="15" hidden="false" customHeight="true" outlineLevel="0" collapsed="false">
      <c r="J22" s="15"/>
      <c r="K22" s="15"/>
      <c r="L22" s="15"/>
      <c r="M22" s="14" t="str">
        <f aca="false">IF(E22&gt;0,F22/E22,"")</f>
        <v/>
      </c>
      <c r="N22" s="14" t="str">
        <f aca="false">IF(G22&gt;0,I22/G22,"")</f>
        <v/>
      </c>
      <c r="O22" s="8" t="str">
        <f aca="false">IF(AND(I22&gt;0,K22&gt;0),K22/I22,"")</f>
        <v/>
      </c>
      <c r="P22" s="9" t="str">
        <f aca="false">IF(K22&gt;0,J22/K22,"")</f>
        <v/>
      </c>
      <c r="Q22" s="8" t="str">
        <f aca="false">IF(B22="","",J22-J22*INDEX('Unit Economics'!$B$10:$D$10,1,B22)-I22*INDEX('Unit Economics'!$B$11:$D$11,1,B22)-L22)</f>
        <v/>
      </c>
      <c r="R22" s="8" t="str">
        <f aca="false">IF(B22="","",Q22-K22*(1+INDEX('Unit Economics'!$B$12:$D$12,1,B22)))</f>
        <v/>
      </c>
      <c r="S22" s="3" t="str">
        <f aca="false">IF(O22="","",IF(O22&lt;=INDEX('Unit Economics'!$B$19:$D$19,1,B22),"Scale",IF(O22&lt;=INDEX('Unit Economics'!$B$18:$D$18,1,B22),"Keep","Losing money")))</f>
        <v/>
      </c>
    </row>
    <row r="23" customFormat="false" ht="15" hidden="false" customHeight="true" outlineLevel="0" collapsed="false">
      <c r="J23" s="15"/>
      <c r="K23" s="15"/>
      <c r="L23" s="15"/>
      <c r="M23" s="14" t="str">
        <f aca="false">IF(E23&gt;0,F23/E23,"")</f>
        <v/>
      </c>
      <c r="N23" s="14" t="str">
        <f aca="false">IF(G23&gt;0,I23/G23,"")</f>
        <v/>
      </c>
      <c r="O23" s="8" t="str">
        <f aca="false">IF(AND(I23&gt;0,K23&gt;0),K23/I23,"")</f>
        <v/>
      </c>
      <c r="P23" s="9" t="str">
        <f aca="false">IF(K23&gt;0,J23/K23,"")</f>
        <v/>
      </c>
      <c r="Q23" s="8" t="str">
        <f aca="false">IF(B23="","",J23-J23*INDEX('Unit Economics'!$B$10:$D$10,1,B23)-I23*INDEX('Unit Economics'!$B$11:$D$11,1,B23)-L23)</f>
        <v/>
      </c>
      <c r="R23" s="8" t="str">
        <f aca="false">IF(B23="","",Q23-K23*(1+INDEX('Unit Economics'!$B$12:$D$12,1,B23)))</f>
        <v/>
      </c>
      <c r="S23" s="3" t="str">
        <f aca="false">IF(O23="","",IF(O23&lt;=INDEX('Unit Economics'!$B$19:$D$19,1,B23),"Scale",IF(O23&lt;=INDEX('Unit Economics'!$B$18:$D$18,1,B23),"Keep","Losing money")))</f>
        <v/>
      </c>
    </row>
    <row r="24" customFormat="false" ht="15" hidden="false" customHeight="true" outlineLevel="0" collapsed="false">
      <c r="J24" s="15"/>
      <c r="K24" s="15"/>
      <c r="L24" s="15"/>
      <c r="M24" s="14" t="str">
        <f aca="false">IF(E24&gt;0,F24/E24,"")</f>
        <v/>
      </c>
      <c r="N24" s="14" t="str">
        <f aca="false">IF(G24&gt;0,I24/G24,"")</f>
        <v/>
      </c>
      <c r="O24" s="8" t="str">
        <f aca="false">IF(AND(I24&gt;0,K24&gt;0),K24/I24,"")</f>
        <v/>
      </c>
      <c r="P24" s="9" t="str">
        <f aca="false">IF(K24&gt;0,J24/K24,"")</f>
        <v/>
      </c>
      <c r="Q24" s="8" t="str">
        <f aca="false">IF(B24="","",J24-J24*INDEX('Unit Economics'!$B$10:$D$10,1,B24)-I24*INDEX('Unit Economics'!$B$11:$D$11,1,B24)-L24)</f>
        <v/>
      </c>
      <c r="R24" s="8" t="str">
        <f aca="false">IF(B24="","",Q24-K24*(1+INDEX('Unit Economics'!$B$12:$D$12,1,B24)))</f>
        <v/>
      </c>
      <c r="S24" s="3" t="str">
        <f aca="false">IF(O24="","",IF(O24&lt;=INDEX('Unit Economics'!$B$19:$D$19,1,B24),"Scale",IF(O24&lt;=INDEX('Unit Economics'!$B$18:$D$18,1,B24),"Keep","Losing money")))</f>
        <v/>
      </c>
    </row>
    <row r="25" customFormat="false" ht="15" hidden="false" customHeight="true" outlineLevel="0" collapsed="false">
      <c r="J25" s="15"/>
      <c r="K25" s="15"/>
      <c r="L25" s="15"/>
      <c r="M25" s="14" t="str">
        <f aca="false">IF(E25&gt;0,F25/E25,"")</f>
        <v/>
      </c>
      <c r="N25" s="14" t="str">
        <f aca="false">IF(G25&gt;0,I25/G25,"")</f>
        <v/>
      </c>
      <c r="O25" s="8" t="str">
        <f aca="false">IF(AND(I25&gt;0,K25&gt;0),K25/I25,"")</f>
        <v/>
      </c>
      <c r="P25" s="9" t="str">
        <f aca="false">IF(K25&gt;0,J25/K25,"")</f>
        <v/>
      </c>
      <c r="Q25" s="8" t="str">
        <f aca="false">IF(B25="","",J25-J25*INDEX('Unit Economics'!$B$10:$D$10,1,B25)-I25*INDEX('Unit Economics'!$B$11:$D$11,1,B25)-L25)</f>
        <v/>
      </c>
      <c r="R25" s="8" t="str">
        <f aca="false">IF(B25="","",Q25-K25*(1+INDEX('Unit Economics'!$B$12:$D$12,1,B25)))</f>
        <v/>
      </c>
      <c r="S25" s="3" t="str">
        <f aca="false">IF(O25="","",IF(O25&lt;=INDEX('Unit Economics'!$B$19:$D$19,1,B25),"Scale",IF(O25&lt;=INDEX('Unit Economics'!$B$18:$D$18,1,B25),"Keep","Losing money")))</f>
        <v/>
      </c>
    </row>
    <row r="26" customFormat="false" ht="15" hidden="false" customHeight="true" outlineLevel="0" collapsed="false">
      <c r="J26" s="15"/>
      <c r="K26" s="15"/>
      <c r="L26" s="15"/>
      <c r="M26" s="14" t="str">
        <f aca="false">IF(E26&gt;0,F26/E26,"")</f>
        <v/>
      </c>
      <c r="N26" s="14" t="str">
        <f aca="false">IF(G26&gt;0,I26/G26,"")</f>
        <v/>
      </c>
      <c r="O26" s="8" t="str">
        <f aca="false">IF(AND(I26&gt;0,K26&gt;0),K26/I26,"")</f>
        <v/>
      </c>
      <c r="P26" s="9" t="str">
        <f aca="false">IF(K26&gt;0,J26/K26,"")</f>
        <v/>
      </c>
      <c r="Q26" s="8" t="str">
        <f aca="false">IF(B26="","",J26-J26*INDEX('Unit Economics'!$B$10:$D$10,1,B26)-I26*INDEX('Unit Economics'!$B$11:$D$11,1,B26)-L26)</f>
        <v/>
      </c>
      <c r="R26" s="8" t="str">
        <f aca="false">IF(B26="","",Q26-K26*(1+INDEX('Unit Economics'!$B$12:$D$12,1,B26)))</f>
        <v/>
      </c>
      <c r="S26" s="3" t="str">
        <f aca="false">IF(O26="","",IF(O26&lt;=INDEX('Unit Economics'!$B$19:$D$19,1,B26),"Scale",IF(O26&lt;=INDEX('Unit Economics'!$B$18:$D$18,1,B26),"Keep","Losing money")))</f>
        <v/>
      </c>
    </row>
    <row r="27" customFormat="false" ht="15" hidden="false" customHeight="true" outlineLevel="0" collapsed="false">
      <c r="J27" s="15"/>
      <c r="K27" s="15"/>
      <c r="L27" s="15"/>
      <c r="M27" s="14" t="str">
        <f aca="false">IF(E27&gt;0,F27/E27,"")</f>
        <v/>
      </c>
      <c r="N27" s="14" t="str">
        <f aca="false">IF(G27&gt;0,I27/G27,"")</f>
        <v/>
      </c>
      <c r="O27" s="8" t="str">
        <f aca="false">IF(AND(I27&gt;0,K27&gt;0),K27/I27,"")</f>
        <v/>
      </c>
      <c r="P27" s="9" t="str">
        <f aca="false">IF(K27&gt;0,J27/K27,"")</f>
        <v/>
      </c>
      <c r="Q27" s="8" t="str">
        <f aca="false">IF(B27="","",J27-J27*INDEX('Unit Economics'!$B$10:$D$10,1,B27)-I27*INDEX('Unit Economics'!$B$11:$D$11,1,B27)-L27)</f>
        <v/>
      </c>
      <c r="R27" s="8" t="str">
        <f aca="false">IF(B27="","",Q27-K27*(1+INDEX('Unit Economics'!$B$12:$D$12,1,B27)))</f>
        <v/>
      </c>
      <c r="S27" s="3" t="str">
        <f aca="false">IF(O27="","",IF(O27&lt;=INDEX('Unit Economics'!$B$19:$D$19,1,B27),"Scale",IF(O27&lt;=INDEX('Unit Economics'!$B$18:$D$18,1,B27),"Keep","Losing money")))</f>
        <v/>
      </c>
    </row>
    <row r="28" customFormat="false" ht="15" hidden="false" customHeight="true" outlineLevel="0" collapsed="false">
      <c r="J28" s="15"/>
      <c r="K28" s="15"/>
      <c r="L28" s="15"/>
      <c r="M28" s="14" t="str">
        <f aca="false">IF(E28&gt;0,F28/E28,"")</f>
        <v/>
      </c>
      <c r="N28" s="14" t="str">
        <f aca="false">IF(G28&gt;0,I28/G28,"")</f>
        <v/>
      </c>
      <c r="O28" s="8" t="str">
        <f aca="false">IF(AND(I28&gt;0,K28&gt;0),K28/I28,"")</f>
        <v/>
      </c>
      <c r="P28" s="9" t="str">
        <f aca="false">IF(K28&gt;0,J28/K28,"")</f>
        <v/>
      </c>
      <c r="Q28" s="8" t="str">
        <f aca="false">IF(B28="","",J28-J28*INDEX('Unit Economics'!$B$10:$D$10,1,B28)-I28*INDEX('Unit Economics'!$B$11:$D$11,1,B28)-L28)</f>
        <v/>
      </c>
      <c r="R28" s="8" t="str">
        <f aca="false">IF(B28="","",Q28-K28*(1+INDEX('Unit Economics'!$B$12:$D$12,1,B28)))</f>
        <v/>
      </c>
      <c r="S28" s="3" t="str">
        <f aca="false">IF(O28="","",IF(O28&lt;=INDEX('Unit Economics'!$B$19:$D$19,1,B28),"Scale",IF(O28&lt;=INDEX('Unit Economics'!$B$18:$D$18,1,B28),"Keep","Losing money")))</f>
        <v/>
      </c>
    </row>
    <row r="29" customFormat="false" ht="15" hidden="false" customHeight="true" outlineLevel="0" collapsed="false">
      <c r="J29" s="15"/>
      <c r="K29" s="15"/>
      <c r="L29" s="15"/>
      <c r="M29" s="14" t="str">
        <f aca="false">IF(E29&gt;0,F29/E29,"")</f>
        <v/>
      </c>
      <c r="N29" s="14" t="str">
        <f aca="false">IF(G29&gt;0,I29/G29,"")</f>
        <v/>
      </c>
      <c r="O29" s="8" t="str">
        <f aca="false">IF(AND(I29&gt;0,K29&gt;0),K29/I29,"")</f>
        <v/>
      </c>
      <c r="P29" s="9" t="str">
        <f aca="false">IF(K29&gt;0,J29/K29,"")</f>
        <v/>
      </c>
      <c r="Q29" s="8" t="str">
        <f aca="false">IF(B29="","",J29-J29*INDEX('Unit Economics'!$B$10:$D$10,1,B29)-I29*INDEX('Unit Economics'!$B$11:$D$11,1,B29)-L29)</f>
        <v/>
      </c>
      <c r="R29" s="8" t="str">
        <f aca="false">IF(B29="","",Q29-K29*(1+INDEX('Unit Economics'!$B$12:$D$12,1,B29)))</f>
        <v/>
      </c>
      <c r="S29" s="3" t="str">
        <f aca="false">IF(O29="","",IF(O29&lt;=INDEX('Unit Economics'!$B$19:$D$19,1,B29),"Scale",IF(O29&lt;=INDEX('Unit Economics'!$B$18:$D$18,1,B29),"Keep","Losing money")))</f>
        <v/>
      </c>
    </row>
    <row r="30" customFormat="false" ht="15" hidden="false" customHeight="true" outlineLevel="0" collapsed="false">
      <c r="J30" s="15"/>
      <c r="K30" s="15"/>
      <c r="L30" s="15"/>
      <c r="M30" s="14" t="str">
        <f aca="false">IF(E30&gt;0,F30/E30,"")</f>
        <v/>
      </c>
      <c r="N30" s="14" t="str">
        <f aca="false">IF(G30&gt;0,I30/G30,"")</f>
        <v/>
      </c>
      <c r="O30" s="8" t="str">
        <f aca="false">IF(AND(I30&gt;0,K30&gt;0),K30/I30,"")</f>
        <v/>
      </c>
      <c r="P30" s="9" t="str">
        <f aca="false">IF(K30&gt;0,J30/K30,"")</f>
        <v/>
      </c>
      <c r="Q30" s="8" t="str">
        <f aca="false">IF(B30="","",J30-J30*INDEX('Unit Economics'!$B$10:$D$10,1,B30)-I30*INDEX('Unit Economics'!$B$11:$D$11,1,B30)-L30)</f>
        <v/>
      </c>
      <c r="R30" s="8" t="str">
        <f aca="false">IF(B30="","",Q30-K30*(1+INDEX('Unit Economics'!$B$12:$D$12,1,B30)))</f>
        <v/>
      </c>
      <c r="S30" s="3" t="str">
        <f aca="false">IF(O30="","",IF(O30&lt;=INDEX('Unit Economics'!$B$19:$D$19,1,B30),"Scale",IF(O30&lt;=INDEX('Unit Economics'!$B$18:$D$18,1,B30),"Keep","Losing money")))</f>
        <v/>
      </c>
    </row>
    <row r="31" customFormat="false" ht="15" hidden="false" customHeight="true" outlineLevel="0" collapsed="false">
      <c r="J31" s="15"/>
      <c r="K31" s="15"/>
      <c r="L31" s="15"/>
      <c r="M31" s="14" t="str">
        <f aca="false">IF(E31&gt;0,F31/E31,"")</f>
        <v/>
      </c>
      <c r="N31" s="14" t="str">
        <f aca="false">IF(G31&gt;0,I31/G31,"")</f>
        <v/>
      </c>
      <c r="O31" s="8" t="str">
        <f aca="false">IF(AND(I31&gt;0,K31&gt;0),K31/I31,"")</f>
        <v/>
      </c>
      <c r="P31" s="9" t="str">
        <f aca="false">IF(K31&gt;0,J31/K31,"")</f>
        <v/>
      </c>
      <c r="Q31" s="8" t="str">
        <f aca="false">IF(B31="","",J31-J31*INDEX('Unit Economics'!$B$10:$D$10,1,B31)-I31*INDEX('Unit Economics'!$B$11:$D$11,1,B31)-L31)</f>
        <v/>
      </c>
      <c r="R31" s="8" t="str">
        <f aca="false">IF(B31="","",Q31-K31*(1+INDEX('Unit Economics'!$B$12:$D$12,1,B31)))</f>
        <v/>
      </c>
      <c r="S31" s="3" t="str">
        <f aca="false">IF(O31="","",IF(O31&lt;=INDEX('Unit Economics'!$B$19:$D$19,1,B31),"Scale",IF(O31&lt;=INDEX('Unit Economics'!$B$18:$D$18,1,B31),"Keep","Losing money")))</f>
        <v/>
      </c>
    </row>
    <row r="32" customFormat="false" ht="15" hidden="false" customHeight="true" outlineLevel="0" collapsed="false">
      <c r="J32" s="15"/>
      <c r="K32" s="15"/>
      <c r="L32" s="15"/>
      <c r="M32" s="14" t="str">
        <f aca="false">IF(E32&gt;0,F32/E32,"")</f>
        <v/>
      </c>
      <c r="N32" s="14" t="str">
        <f aca="false">IF(G32&gt;0,I32/G32,"")</f>
        <v/>
      </c>
      <c r="O32" s="8" t="str">
        <f aca="false">IF(AND(I32&gt;0,K32&gt;0),K32/I32,"")</f>
        <v/>
      </c>
      <c r="P32" s="9" t="str">
        <f aca="false">IF(K32&gt;0,J32/K32,"")</f>
        <v/>
      </c>
      <c r="Q32" s="8" t="str">
        <f aca="false">IF(B32="","",J32-J32*INDEX('Unit Economics'!$B$10:$D$10,1,B32)-I32*INDEX('Unit Economics'!$B$11:$D$11,1,B32)-L32)</f>
        <v/>
      </c>
      <c r="R32" s="8" t="str">
        <f aca="false">IF(B32="","",Q32-K32*(1+INDEX('Unit Economics'!$B$12:$D$12,1,B32)))</f>
        <v/>
      </c>
      <c r="S32" s="3" t="str">
        <f aca="false">IF(O32="","",IF(O32&lt;=INDEX('Unit Economics'!$B$19:$D$19,1,B32),"Scale",IF(O32&lt;=INDEX('Unit Economics'!$B$18:$D$18,1,B32),"Keep","Losing money")))</f>
        <v/>
      </c>
    </row>
    <row r="33" customFormat="false" ht="15" hidden="false" customHeight="true" outlineLevel="0" collapsed="false">
      <c r="J33" s="15"/>
      <c r="K33" s="15"/>
      <c r="L33" s="15"/>
      <c r="M33" s="14" t="str">
        <f aca="false">IF(E33&gt;0,F33/E33,"")</f>
        <v/>
      </c>
      <c r="N33" s="14" t="str">
        <f aca="false">IF(G33&gt;0,I33/G33,"")</f>
        <v/>
      </c>
      <c r="O33" s="8" t="str">
        <f aca="false">IF(AND(I33&gt;0,K33&gt;0),K33/I33,"")</f>
        <v/>
      </c>
      <c r="P33" s="9" t="str">
        <f aca="false">IF(K33&gt;0,J33/K33,"")</f>
        <v/>
      </c>
      <c r="Q33" s="8" t="str">
        <f aca="false">IF(B33="","",J33-J33*INDEX('Unit Economics'!$B$10:$D$10,1,B33)-I33*INDEX('Unit Economics'!$B$11:$D$11,1,B33)-L33)</f>
        <v/>
      </c>
      <c r="R33" s="8" t="str">
        <f aca="false">IF(B33="","",Q33-K33*(1+INDEX('Unit Economics'!$B$12:$D$12,1,B33)))</f>
        <v/>
      </c>
      <c r="S33" s="3" t="str">
        <f aca="false">IF(O33="","",IF(O33&lt;=INDEX('Unit Economics'!$B$19:$D$19,1,B33),"Scale",IF(O33&lt;=INDEX('Unit Economics'!$B$18:$D$18,1,B33),"Keep","Losing money")))</f>
        <v/>
      </c>
    </row>
    <row r="34" customFormat="false" ht="15" hidden="false" customHeight="true" outlineLevel="0" collapsed="false">
      <c r="J34" s="15"/>
      <c r="K34" s="15"/>
      <c r="L34" s="15"/>
      <c r="M34" s="14" t="str">
        <f aca="false">IF(E34&gt;0,F34/E34,"")</f>
        <v/>
      </c>
      <c r="N34" s="14" t="str">
        <f aca="false">IF(G34&gt;0,I34/G34,"")</f>
        <v/>
      </c>
      <c r="O34" s="8" t="str">
        <f aca="false">IF(AND(I34&gt;0,K34&gt;0),K34/I34,"")</f>
        <v/>
      </c>
      <c r="P34" s="9" t="str">
        <f aca="false">IF(K34&gt;0,J34/K34,"")</f>
        <v/>
      </c>
      <c r="Q34" s="8" t="str">
        <f aca="false">IF(B34="","",J34-J34*INDEX('Unit Economics'!$B$10:$D$10,1,B34)-I34*INDEX('Unit Economics'!$B$11:$D$11,1,B34)-L34)</f>
        <v/>
      </c>
      <c r="R34" s="8" t="str">
        <f aca="false">IF(B34="","",Q34-K34*(1+INDEX('Unit Economics'!$B$12:$D$12,1,B34)))</f>
        <v/>
      </c>
      <c r="S34" s="3" t="str">
        <f aca="false">IF(O34="","",IF(O34&lt;=INDEX('Unit Economics'!$B$19:$D$19,1,B34),"Scale",IF(O34&lt;=INDEX('Unit Economics'!$B$18:$D$18,1,B34),"Keep","Losing money")))</f>
        <v/>
      </c>
    </row>
    <row r="35" customFormat="false" ht="15" hidden="false" customHeight="true" outlineLevel="0" collapsed="false">
      <c r="J35" s="15"/>
      <c r="K35" s="15"/>
      <c r="L35" s="15"/>
      <c r="M35" s="14" t="str">
        <f aca="false">IF(E35&gt;0,F35/E35,"")</f>
        <v/>
      </c>
      <c r="N35" s="14" t="str">
        <f aca="false">IF(G35&gt;0,I35/G35,"")</f>
        <v/>
      </c>
      <c r="O35" s="8" t="str">
        <f aca="false">IF(AND(I35&gt;0,K35&gt;0),K35/I35,"")</f>
        <v/>
      </c>
      <c r="P35" s="9" t="str">
        <f aca="false">IF(K35&gt;0,J35/K35,"")</f>
        <v/>
      </c>
      <c r="Q35" s="8" t="str">
        <f aca="false">IF(B35="","",J35-J35*INDEX('Unit Economics'!$B$10:$D$10,1,B35)-I35*INDEX('Unit Economics'!$B$11:$D$11,1,B35)-L35)</f>
        <v/>
      </c>
      <c r="R35" s="8" t="str">
        <f aca="false">IF(B35="","",Q35-K35*(1+INDEX('Unit Economics'!$B$12:$D$12,1,B35)))</f>
        <v/>
      </c>
      <c r="S35" s="3" t="str">
        <f aca="false">IF(O35="","",IF(O35&lt;=INDEX('Unit Economics'!$B$19:$D$19,1,B35),"Scale",IF(O35&lt;=INDEX('Unit Economics'!$B$18:$D$18,1,B35),"Keep","Losing money")))</f>
        <v/>
      </c>
    </row>
    <row r="36" customFormat="false" ht="15" hidden="false" customHeight="true" outlineLevel="0" collapsed="false">
      <c r="J36" s="15"/>
      <c r="K36" s="15"/>
      <c r="L36" s="15"/>
      <c r="M36" s="14" t="str">
        <f aca="false">IF(E36&gt;0,F36/E36,"")</f>
        <v/>
      </c>
      <c r="N36" s="14" t="str">
        <f aca="false">IF(G36&gt;0,I36/G36,"")</f>
        <v/>
      </c>
      <c r="O36" s="8" t="str">
        <f aca="false">IF(AND(I36&gt;0,K36&gt;0),K36/I36,"")</f>
        <v/>
      </c>
      <c r="P36" s="9" t="str">
        <f aca="false">IF(K36&gt;0,J36/K36,"")</f>
        <v/>
      </c>
      <c r="Q36" s="8" t="str">
        <f aca="false">IF(B36="","",J36-J36*INDEX('Unit Economics'!$B$10:$D$10,1,B36)-I36*INDEX('Unit Economics'!$B$11:$D$11,1,B36)-L36)</f>
        <v/>
      </c>
      <c r="R36" s="8" t="str">
        <f aca="false">IF(B36="","",Q36-K36*(1+INDEX('Unit Economics'!$B$12:$D$12,1,B36)))</f>
        <v/>
      </c>
      <c r="S36" s="3" t="str">
        <f aca="false">IF(O36="","",IF(O36&lt;=INDEX('Unit Economics'!$B$19:$D$19,1,B36),"Scale",IF(O36&lt;=INDEX('Unit Economics'!$B$18:$D$18,1,B36),"Keep","Losing money")))</f>
        <v/>
      </c>
    </row>
    <row r="37" customFormat="false" ht="15" hidden="false" customHeight="true" outlineLevel="0" collapsed="false">
      <c r="J37" s="15"/>
      <c r="K37" s="15"/>
      <c r="L37" s="15"/>
      <c r="M37" s="14" t="str">
        <f aca="false">IF(E37&gt;0,F37/E37,"")</f>
        <v/>
      </c>
      <c r="N37" s="14" t="str">
        <f aca="false">IF(G37&gt;0,I37/G37,"")</f>
        <v/>
      </c>
      <c r="O37" s="8" t="str">
        <f aca="false">IF(AND(I37&gt;0,K37&gt;0),K37/I37,"")</f>
        <v/>
      </c>
      <c r="P37" s="9" t="str">
        <f aca="false">IF(K37&gt;0,J37/K37,"")</f>
        <v/>
      </c>
      <c r="Q37" s="8" t="str">
        <f aca="false">IF(B37="","",J37-J37*INDEX('Unit Economics'!$B$10:$D$10,1,B37)-I37*INDEX('Unit Economics'!$B$11:$D$11,1,B37)-L37)</f>
        <v/>
      </c>
      <c r="R37" s="8" t="str">
        <f aca="false">IF(B37="","",Q37-K37*(1+INDEX('Unit Economics'!$B$12:$D$12,1,B37)))</f>
        <v/>
      </c>
      <c r="S37" s="3" t="str">
        <f aca="false">IF(O37="","",IF(O37&lt;=INDEX('Unit Economics'!$B$19:$D$19,1,B37),"Scale",IF(O37&lt;=INDEX('Unit Economics'!$B$18:$D$18,1,B37),"Keep","Losing money")))</f>
        <v/>
      </c>
    </row>
    <row r="38" customFormat="false" ht="15" hidden="false" customHeight="true" outlineLevel="0" collapsed="false">
      <c r="J38" s="15"/>
      <c r="K38" s="15"/>
      <c r="L38" s="15"/>
      <c r="M38" s="14" t="str">
        <f aca="false">IF(E38&gt;0,F38/E38,"")</f>
        <v/>
      </c>
      <c r="N38" s="14" t="str">
        <f aca="false">IF(G38&gt;0,I38/G38,"")</f>
        <v/>
      </c>
      <c r="O38" s="8" t="str">
        <f aca="false">IF(AND(I38&gt;0,K38&gt;0),K38/I38,"")</f>
        <v/>
      </c>
      <c r="P38" s="9" t="str">
        <f aca="false">IF(K38&gt;0,J38/K38,"")</f>
        <v/>
      </c>
      <c r="Q38" s="8" t="str">
        <f aca="false">IF(B38="","",J38-J38*INDEX('Unit Economics'!$B$10:$D$10,1,B38)-I38*INDEX('Unit Economics'!$B$11:$D$11,1,B38)-L38)</f>
        <v/>
      </c>
      <c r="R38" s="8" t="str">
        <f aca="false">IF(B38="","",Q38-K38*(1+INDEX('Unit Economics'!$B$12:$D$12,1,B38)))</f>
        <v/>
      </c>
      <c r="S38" s="3" t="str">
        <f aca="false">IF(O38="","",IF(O38&lt;=INDEX('Unit Economics'!$B$19:$D$19,1,B38),"Scale",IF(O38&lt;=INDEX('Unit Economics'!$B$18:$D$18,1,B38),"Keep","Losing money")))</f>
        <v/>
      </c>
    </row>
    <row r="39" customFormat="false" ht="15" hidden="false" customHeight="true" outlineLevel="0" collapsed="false">
      <c r="J39" s="15"/>
      <c r="K39" s="15"/>
      <c r="L39" s="15"/>
      <c r="M39" s="14" t="str">
        <f aca="false">IF(E39&gt;0,F39/E39,"")</f>
        <v/>
      </c>
      <c r="N39" s="14" t="str">
        <f aca="false">IF(G39&gt;0,I39/G39,"")</f>
        <v/>
      </c>
      <c r="O39" s="8" t="str">
        <f aca="false">IF(AND(I39&gt;0,K39&gt;0),K39/I39,"")</f>
        <v/>
      </c>
      <c r="P39" s="9" t="str">
        <f aca="false">IF(K39&gt;0,J39/K39,"")</f>
        <v/>
      </c>
      <c r="Q39" s="8" t="str">
        <f aca="false">IF(B39="","",J39-J39*INDEX('Unit Economics'!$B$10:$D$10,1,B39)-I39*INDEX('Unit Economics'!$B$11:$D$11,1,B39)-L39)</f>
        <v/>
      </c>
      <c r="R39" s="8" t="str">
        <f aca="false">IF(B39="","",Q39-K39*(1+INDEX('Unit Economics'!$B$12:$D$12,1,B39)))</f>
        <v/>
      </c>
      <c r="S39" s="3" t="str">
        <f aca="false">IF(O39="","",IF(O39&lt;=INDEX('Unit Economics'!$B$19:$D$19,1,B39),"Scale",IF(O39&lt;=INDEX('Unit Economics'!$B$18:$D$18,1,B39),"Keep","Losing money")))</f>
        <v/>
      </c>
    </row>
    <row r="40" customFormat="false" ht="15" hidden="false" customHeight="true" outlineLevel="0" collapsed="false">
      <c r="J40" s="15"/>
      <c r="K40" s="15"/>
      <c r="L40" s="15"/>
      <c r="M40" s="14" t="str">
        <f aca="false">IF(E40&gt;0,F40/E40,"")</f>
        <v/>
      </c>
      <c r="N40" s="14" t="str">
        <f aca="false">IF(G40&gt;0,I40/G40,"")</f>
        <v/>
      </c>
      <c r="O40" s="8" t="str">
        <f aca="false">IF(AND(I40&gt;0,K40&gt;0),K40/I40,"")</f>
        <v/>
      </c>
      <c r="P40" s="9" t="str">
        <f aca="false">IF(K40&gt;0,J40/K40,"")</f>
        <v/>
      </c>
      <c r="Q40" s="8" t="str">
        <f aca="false">IF(B40="","",J40-J40*INDEX('Unit Economics'!$B$10:$D$10,1,B40)-I40*INDEX('Unit Economics'!$B$11:$D$11,1,B40)-L40)</f>
        <v/>
      </c>
      <c r="R40" s="8" t="str">
        <f aca="false">IF(B40="","",Q40-K40*(1+INDEX('Unit Economics'!$B$12:$D$12,1,B40)))</f>
        <v/>
      </c>
      <c r="S40" s="3" t="str">
        <f aca="false">IF(O40="","",IF(O40&lt;=INDEX('Unit Economics'!$B$19:$D$19,1,B40),"Scale",IF(O40&lt;=INDEX('Unit Economics'!$B$18:$D$18,1,B40),"Keep","Losing money")))</f>
        <v/>
      </c>
    </row>
    <row r="41" customFormat="false" ht="15" hidden="false" customHeight="true" outlineLevel="0" collapsed="false">
      <c r="J41" s="15"/>
      <c r="K41" s="15"/>
      <c r="L41" s="15"/>
      <c r="M41" s="14" t="str">
        <f aca="false">IF(E41&gt;0,F41/E41,"")</f>
        <v/>
      </c>
      <c r="N41" s="14" t="str">
        <f aca="false">IF(G41&gt;0,I41/G41,"")</f>
        <v/>
      </c>
      <c r="O41" s="8" t="str">
        <f aca="false">IF(AND(I41&gt;0,K41&gt;0),K41/I41,"")</f>
        <v/>
      </c>
      <c r="P41" s="9" t="str">
        <f aca="false">IF(K41&gt;0,J41/K41,"")</f>
        <v/>
      </c>
      <c r="Q41" s="8" t="str">
        <f aca="false">IF(B41="","",J41-J41*INDEX('Unit Economics'!$B$10:$D$10,1,B41)-I41*INDEX('Unit Economics'!$B$11:$D$11,1,B41)-L41)</f>
        <v/>
      </c>
      <c r="R41" s="8" t="str">
        <f aca="false">IF(B41="","",Q41-K41*(1+INDEX('Unit Economics'!$B$12:$D$12,1,B41)))</f>
        <v/>
      </c>
      <c r="S41" s="3" t="str">
        <f aca="false">IF(O41="","",IF(O41&lt;=INDEX('Unit Economics'!$B$19:$D$19,1,B41),"Scale",IF(O41&lt;=INDEX('Unit Economics'!$B$18:$D$18,1,B41),"Keep","Losing money")))</f>
        <v/>
      </c>
    </row>
    <row r="42" customFormat="false" ht="15" hidden="false" customHeight="true" outlineLevel="0" collapsed="false">
      <c r="J42" s="15"/>
      <c r="K42" s="15"/>
      <c r="L42" s="15"/>
      <c r="M42" s="14" t="str">
        <f aca="false">IF(E42&gt;0,F42/E42,"")</f>
        <v/>
      </c>
      <c r="N42" s="14" t="str">
        <f aca="false">IF(G42&gt;0,I42/G42,"")</f>
        <v/>
      </c>
      <c r="O42" s="8" t="str">
        <f aca="false">IF(AND(I42&gt;0,K42&gt;0),K42/I42,"")</f>
        <v/>
      </c>
      <c r="P42" s="9" t="str">
        <f aca="false">IF(K42&gt;0,J42/K42,"")</f>
        <v/>
      </c>
      <c r="Q42" s="8" t="str">
        <f aca="false">IF(B42="","",J42-J42*INDEX('Unit Economics'!$B$10:$D$10,1,B42)-I42*INDEX('Unit Economics'!$B$11:$D$11,1,B42)-L42)</f>
        <v/>
      </c>
      <c r="R42" s="8" t="str">
        <f aca="false">IF(B42="","",Q42-K42*(1+INDEX('Unit Economics'!$B$12:$D$12,1,B42)))</f>
        <v/>
      </c>
      <c r="S42" s="3" t="str">
        <f aca="false">IF(O42="","",IF(O42&lt;=INDEX('Unit Economics'!$B$19:$D$19,1,B42),"Scale",IF(O42&lt;=INDEX('Unit Economics'!$B$18:$D$18,1,B42),"Keep","Losing money")))</f>
        <v/>
      </c>
    </row>
    <row r="43" customFormat="false" ht="15" hidden="false" customHeight="true" outlineLevel="0" collapsed="false">
      <c r="J43" s="15"/>
      <c r="K43" s="15"/>
      <c r="L43" s="15"/>
      <c r="M43" s="14" t="str">
        <f aca="false">IF(E43&gt;0,F43/E43,"")</f>
        <v/>
      </c>
      <c r="N43" s="14" t="str">
        <f aca="false">IF(G43&gt;0,I43/G43,"")</f>
        <v/>
      </c>
      <c r="O43" s="8" t="str">
        <f aca="false">IF(AND(I43&gt;0,K43&gt;0),K43/I43,"")</f>
        <v/>
      </c>
      <c r="P43" s="9" t="str">
        <f aca="false">IF(K43&gt;0,J43/K43,"")</f>
        <v/>
      </c>
      <c r="Q43" s="8" t="str">
        <f aca="false">IF(B43="","",J43-J43*INDEX('Unit Economics'!$B$10:$D$10,1,B43)-I43*INDEX('Unit Economics'!$B$11:$D$11,1,B43)-L43)</f>
        <v/>
      </c>
      <c r="R43" s="8" t="str">
        <f aca="false">IF(B43="","",Q43-K43*(1+INDEX('Unit Economics'!$B$12:$D$12,1,B43)))</f>
        <v/>
      </c>
      <c r="S43" s="3" t="str">
        <f aca="false">IF(O43="","",IF(O43&lt;=INDEX('Unit Economics'!$B$19:$D$19,1,B43),"Scale",IF(O43&lt;=INDEX('Unit Economics'!$B$18:$D$18,1,B43),"Keep","Losing money")))</f>
        <v/>
      </c>
    </row>
    <row r="44" customFormat="false" ht="15" hidden="false" customHeight="true" outlineLevel="0" collapsed="false">
      <c r="J44" s="15"/>
      <c r="K44" s="15"/>
      <c r="L44" s="15"/>
      <c r="M44" s="14" t="str">
        <f aca="false">IF(E44&gt;0,F44/E44,"")</f>
        <v/>
      </c>
      <c r="N44" s="14" t="str">
        <f aca="false">IF(G44&gt;0,I44/G44,"")</f>
        <v/>
      </c>
      <c r="O44" s="8" t="str">
        <f aca="false">IF(AND(I44&gt;0,K44&gt;0),K44/I44,"")</f>
        <v/>
      </c>
      <c r="P44" s="9" t="str">
        <f aca="false">IF(K44&gt;0,J44/K44,"")</f>
        <v/>
      </c>
      <c r="Q44" s="8" t="str">
        <f aca="false">IF(B44="","",J44-J44*INDEX('Unit Economics'!$B$10:$D$10,1,B44)-I44*INDEX('Unit Economics'!$B$11:$D$11,1,B44)-L44)</f>
        <v/>
      </c>
      <c r="R44" s="8" t="str">
        <f aca="false">IF(B44="","",Q44-K44*(1+INDEX('Unit Economics'!$B$12:$D$12,1,B44)))</f>
        <v/>
      </c>
      <c r="S44" s="3" t="str">
        <f aca="false">IF(O44="","",IF(O44&lt;=INDEX('Unit Economics'!$B$19:$D$19,1,B44),"Scale",IF(O44&lt;=INDEX('Unit Economics'!$B$18:$D$18,1,B44),"Keep","Losing money")))</f>
        <v/>
      </c>
    </row>
    <row r="45" customFormat="false" ht="15" hidden="false" customHeight="true" outlineLevel="0" collapsed="false">
      <c r="J45" s="15"/>
      <c r="K45" s="15"/>
      <c r="L45" s="15"/>
      <c r="M45" s="14" t="str">
        <f aca="false">IF(E45&gt;0,F45/E45,"")</f>
        <v/>
      </c>
      <c r="N45" s="14" t="str">
        <f aca="false">IF(G45&gt;0,I45/G45,"")</f>
        <v/>
      </c>
      <c r="O45" s="8" t="str">
        <f aca="false">IF(AND(I45&gt;0,K45&gt;0),K45/I45,"")</f>
        <v/>
      </c>
      <c r="P45" s="9" t="str">
        <f aca="false">IF(K45&gt;0,J45/K45,"")</f>
        <v/>
      </c>
      <c r="Q45" s="8" t="str">
        <f aca="false">IF(B45="","",J45-J45*INDEX('Unit Economics'!$B$10:$D$10,1,B45)-I45*INDEX('Unit Economics'!$B$11:$D$11,1,B45)-L45)</f>
        <v/>
      </c>
      <c r="R45" s="8" t="str">
        <f aca="false">IF(B45="","",Q45-K45*(1+INDEX('Unit Economics'!$B$12:$D$12,1,B45)))</f>
        <v/>
      </c>
      <c r="S45" s="3" t="str">
        <f aca="false">IF(O45="","",IF(O45&lt;=INDEX('Unit Economics'!$B$19:$D$19,1,B45),"Scale",IF(O45&lt;=INDEX('Unit Economics'!$B$18:$D$18,1,B45),"Keep","Losing money")))</f>
        <v/>
      </c>
    </row>
    <row r="46" customFormat="false" ht="15" hidden="false" customHeight="true" outlineLevel="0" collapsed="false">
      <c r="J46" s="15"/>
      <c r="K46" s="15"/>
      <c r="L46" s="15"/>
      <c r="M46" s="14" t="str">
        <f aca="false">IF(E46&gt;0,F46/E46,"")</f>
        <v/>
      </c>
      <c r="N46" s="14" t="str">
        <f aca="false">IF(G46&gt;0,I46/G46,"")</f>
        <v/>
      </c>
      <c r="O46" s="8" t="str">
        <f aca="false">IF(AND(I46&gt;0,K46&gt;0),K46/I46,"")</f>
        <v/>
      </c>
      <c r="P46" s="9" t="str">
        <f aca="false">IF(K46&gt;0,J46/K46,"")</f>
        <v/>
      </c>
      <c r="Q46" s="8" t="str">
        <f aca="false">IF(B46="","",J46-J46*INDEX('Unit Economics'!$B$10:$D$10,1,B46)-I46*INDEX('Unit Economics'!$B$11:$D$11,1,B46)-L46)</f>
        <v/>
      </c>
      <c r="R46" s="8" t="str">
        <f aca="false">IF(B46="","",Q46-K46*(1+INDEX('Unit Economics'!$B$12:$D$12,1,B46)))</f>
        <v/>
      </c>
      <c r="S46" s="3" t="str">
        <f aca="false">IF(O46="","",IF(O46&lt;=INDEX('Unit Economics'!$B$19:$D$19,1,B46),"Scale",IF(O46&lt;=INDEX('Unit Economics'!$B$18:$D$18,1,B46),"Keep","Losing money")))</f>
        <v/>
      </c>
    </row>
    <row r="47" customFormat="false" ht="15" hidden="false" customHeight="true" outlineLevel="0" collapsed="false">
      <c r="J47" s="15"/>
      <c r="K47" s="15"/>
      <c r="L47" s="15"/>
      <c r="M47" s="14" t="str">
        <f aca="false">IF(E47&gt;0,F47/E47,"")</f>
        <v/>
      </c>
      <c r="N47" s="14" t="str">
        <f aca="false">IF(G47&gt;0,I47/G47,"")</f>
        <v/>
      </c>
      <c r="O47" s="8" t="str">
        <f aca="false">IF(AND(I47&gt;0,K47&gt;0),K47/I47,"")</f>
        <v/>
      </c>
      <c r="P47" s="9" t="str">
        <f aca="false">IF(K47&gt;0,J47/K47,"")</f>
        <v/>
      </c>
      <c r="Q47" s="8" t="str">
        <f aca="false">IF(B47="","",J47-J47*INDEX('Unit Economics'!$B$10:$D$10,1,B47)-I47*INDEX('Unit Economics'!$B$11:$D$11,1,B47)-L47)</f>
        <v/>
      </c>
      <c r="R47" s="8" t="str">
        <f aca="false">IF(B47="","",Q47-K47*(1+INDEX('Unit Economics'!$B$12:$D$12,1,B47)))</f>
        <v/>
      </c>
      <c r="S47" s="3" t="str">
        <f aca="false">IF(O47="","",IF(O47&lt;=INDEX('Unit Economics'!$B$19:$D$19,1,B47),"Scale",IF(O47&lt;=INDEX('Unit Economics'!$B$18:$D$18,1,B47),"Keep","Losing money")))</f>
        <v/>
      </c>
    </row>
    <row r="48" customFormat="false" ht="15" hidden="false" customHeight="true" outlineLevel="0" collapsed="false">
      <c r="J48" s="15"/>
      <c r="K48" s="15"/>
      <c r="L48" s="15"/>
      <c r="M48" s="14" t="str">
        <f aca="false">IF(E48&gt;0,F48/E48,"")</f>
        <v/>
      </c>
      <c r="N48" s="14" t="str">
        <f aca="false">IF(G48&gt;0,I48/G48,"")</f>
        <v/>
      </c>
      <c r="O48" s="8" t="str">
        <f aca="false">IF(AND(I48&gt;0,K48&gt;0),K48/I48,"")</f>
        <v/>
      </c>
      <c r="P48" s="9" t="str">
        <f aca="false">IF(K48&gt;0,J48/K48,"")</f>
        <v/>
      </c>
      <c r="Q48" s="8" t="str">
        <f aca="false">IF(B48="","",J48-J48*INDEX('Unit Economics'!$B$10:$D$10,1,B48)-I48*INDEX('Unit Economics'!$B$11:$D$11,1,B48)-L48)</f>
        <v/>
      </c>
      <c r="R48" s="8" t="str">
        <f aca="false">IF(B48="","",Q48-K48*(1+INDEX('Unit Economics'!$B$12:$D$12,1,B48)))</f>
        <v/>
      </c>
      <c r="S48" s="3" t="str">
        <f aca="false">IF(O48="","",IF(O48&lt;=INDEX('Unit Economics'!$B$19:$D$19,1,B48),"Scale",IF(O48&lt;=INDEX('Unit Economics'!$B$18:$D$18,1,B48),"Keep","Losing money")))</f>
        <v/>
      </c>
    </row>
    <row r="49" customFormat="false" ht="15" hidden="false" customHeight="true" outlineLevel="0" collapsed="false">
      <c r="J49" s="15"/>
      <c r="K49" s="15"/>
      <c r="L49" s="15"/>
      <c r="M49" s="14" t="str">
        <f aca="false">IF(E49&gt;0,F49/E49,"")</f>
        <v/>
      </c>
      <c r="N49" s="14" t="str">
        <f aca="false">IF(G49&gt;0,I49/G49,"")</f>
        <v/>
      </c>
      <c r="O49" s="8" t="str">
        <f aca="false">IF(AND(I49&gt;0,K49&gt;0),K49/I49,"")</f>
        <v/>
      </c>
      <c r="P49" s="9" t="str">
        <f aca="false">IF(K49&gt;0,J49/K49,"")</f>
        <v/>
      </c>
      <c r="Q49" s="8" t="str">
        <f aca="false">IF(B49="","",J49-J49*INDEX('Unit Economics'!$B$10:$D$10,1,B49)-I49*INDEX('Unit Economics'!$B$11:$D$11,1,B49)-L49)</f>
        <v/>
      </c>
      <c r="R49" s="8" t="str">
        <f aca="false">IF(B49="","",Q49-K49*(1+INDEX('Unit Economics'!$B$12:$D$12,1,B49)))</f>
        <v/>
      </c>
      <c r="S49" s="3" t="str">
        <f aca="false">IF(O49="","",IF(O49&lt;=INDEX('Unit Economics'!$B$19:$D$19,1,B49),"Scale",IF(O49&lt;=INDEX('Unit Economics'!$B$18:$D$18,1,B49),"Keep","Losing money")))</f>
        <v/>
      </c>
    </row>
    <row r="50" customFormat="false" ht="15" hidden="false" customHeight="true" outlineLevel="0" collapsed="false">
      <c r="J50" s="15"/>
      <c r="K50" s="15"/>
      <c r="L50" s="15"/>
      <c r="M50" s="14" t="str">
        <f aca="false">IF(E50&gt;0,F50/E50,"")</f>
        <v/>
      </c>
      <c r="N50" s="14" t="str">
        <f aca="false">IF(G50&gt;0,I50/G50,"")</f>
        <v/>
      </c>
      <c r="O50" s="8" t="str">
        <f aca="false">IF(AND(I50&gt;0,K50&gt;0),K50/I50,"")</f>
        <v/>
      </c>
      <c r="P50" s="9" t="str">
        <f aca="false">IF(K50&gt;0,J50/K50,"")</f>
        <v/>
      </c>
      <c r="Q50" s="8" t="str">
        <f aca="false">IF(B50="","",J50-J50*INDEX('Unit Economics'!$B$10:$D$10,1,B50)-I50*INDEX('Unit Economics'!$B$11:$D$11,1,B50)-L50)</f>
        <v/>
      </c>
      <c r="R50" s="8" t="str">
        <f aca="false">IF(B50="","",Q50-K50*(1+INDEX('Unit Economics'!$B$12:$D$12,1,B50)))</f>
        <v/>
      </c>
      <c r="S50" s="3" t="str">
        <f aca="false">IF(O50="","",IF(O50&lt;=INDEX('Unit Economics'!$B$19:$D$19,1,B50),"Scale",IF(O50&lt;=INDEX('Unit Economics'!$B$18:$D$18,1,B50),"Keep","Losing money")))</f>
        <v/>
      </c>
    </row>
    <row r="51" customFormat="false" ht="15" hidden="false" customHeight="true" outlineLevel="0" collapsed="false">
      <c r="J51" s="15"/>
      <c r="K51" s="15"/>
      <c r="L51" s="15"/>
      <c r="M51" s="14" t="str">
        <f aca="false">IF(E51&gt;0,F51/E51,"")</f>
        <v/>
      </c>
      <c r="N51" s="14" t="str">
        <f aca="false">IF(G51&gt;0,I51/G51,"")</f>
        <v/>
      </c>
      <c r="O51" s="8" t="str">
        <f aca="false">IF(AND(I51&gt;0,K51&gt;0),K51/I51,"")</f>
        <v/>
      </c>
      <c r="P51" s="9" t="str">
        <f aca="false">IF(K51&gt;0,J51/K51,"")</f>
        <v/>
      </c>
      <c r="Q51" s="8" t="str">
        <f aca="false">IF(B51="","",J51-J51*INDEX('Unit Economics'!$B$10:$D$10,1,B51)-I51*INDEX('Unit Economics'!$B$11:$D$11,1,B51)-L51)</f>
        <v/>
      </c>
      <c r="R51" s="8" t="str">
        <f aca="false">IF(B51="","",Q51-K51*(1+INDEX('Unit Economics'!$B$12:$D$12,1,B51)))</f>
        <v/>
      </c>
      <c r="S51" s="3" t="str">
        <f aca="false">IF(O51="","",IF(O51&lt;=INDEX('Unit Economics'!$B$19:$D$19,1,B51),"Scale",IF(O51&lt;=INDEX('Unit Economics'!$B$18:$D$18,1,B51),"Keep","Losing money")))</f>
        <v/>
      </c>
    </row>
    <row r="52" customFormat="false" ht="15" hidden="false" customHeight="true" outlineLevel="0" collapsed="false">
      <c r="J52" s="15"/>
      <c r="K52" s="15"/>
      <c r="L52" s="15"/>
      <c r="M52" s="14" t="str">
        <f aca="false">IF(E52&gt;0,F52/E52,"")</f>
        <v/>
      </c>
      <c r="N52" s="14" t="str">
        <f aca="false">IF(G52&gt;0,I52/G52,"")</f>
        <v/>
      </c>
      <c r="O52" s="8" t="str">
        <f aca="false">IF(AND(I52&gt;0,K52&gt;0),K52/I52,"")</f>
        <v/>
      </c>
      <c r="P52" s="9" t="str">
        <f aca="false">IF(K52&gt;0,J52/K52,"")</f>
        <v/>
      </c>
      <c r="Q52" s="8" t="str">
        <f aca="false">IF(B52="","",J52-J52*INDEX('Unit Economics'!$B$10:$D$10,1,B52)-I52*INDEX('Unit Economics'!$B$11:$D$11,1,B52)-L52)</f>
        <v/>
      </c>
      <c r="R52" s="8" t="str">
        <f aca="false">IF(B52="","",Q52-K52*(1+INDEX('Unit Economics'!$B$12:$D$12,1,B52)))</f>
        <v/>
      </c>
      <c r="S52" s="3" t="str">
        <f aca="false">IF(O52="","",IF(O52&lt;=INDEX('Unit Economics'!$B$19:$D$19,1,B52),"Scale",IF(O52&lt;=INDEX('Unit Economics'!$B$18:$D$18,1,B52),"Keep","Losing money")))</f>
        <v/>
      </c>
    </row>
    <row r="53" customFormat="false" ht="15" hidden="false" customHeight="true" outlineLevel="0" collapsed="false">
      <c r="J53" s="15"/>
      <c r="K53" s="15"/>
      <c r="L53" s="15"/>
      <c r="M53" s="14" t="str">
        <f aca="false">IF(E53&gt;0,F53/E53,"")</f>
        <v/>
      </c>
      <c r="N53" s="14" t="str">
        <f aca="false">IF(G53&gt;0,I53/G53,"")</f>
        <v/>
      </c>
      <c r="O53" s="8" t="str">
        <f aca="false">IF(AND(I53&gt;0,K53&gt;0),K53/I53,"")</f>
        <v/>
      </c>
      <c r="P53" s="9" t="str">
        <f aca="false">IF(K53&gt;0,J53/K53,"")</f>
        <v/>
      </c>
      <c r="Q53" s="8" t="str">
        <f aca="false">IF(B53="","",J53-J53*INDEX('Unit Economics'!$B$10:$D$10,1,B53)-I53*INDEX('Unit Economics'!$B$11:$D$11,1,B53)-L53)</f>
        <v/>
      </c>
      <c r="R53" s="8" t="str">
        <f aca="false">IF(B53="","",Q53-K53*(1+INDEX('Unit Economics'!$B$12:$D$12,1,B53)))</f>
        <v/>
      </c>
      <c r="S53" s="3" t="str">
        <f aca="false">IF(O53="","",IF(O53&lt;=INDEX('Unit Economics'!$B$19:$D$19,1,B53),"Scale",IF(O53&lt;=INDEX('Unit Economics'!$B$18:$D$18,1,B53),"Keep","Losing money")))</f>
        <v/>
      </c>
    </row>
    <row r="54" customFormat="false" ht="15" hidden="false" customHeight="true" outlineLevel="0" collapsed="false">
      <c r="J54" s="15"/>
      <c r="K54" s="15"/>
      <c r="L54" s="15"/>
      <c r="M54" s="14" t="str">
        <f aca="false">IF(E54&gt;0,F54/E54,"")</f>
        <v/>
      </c>
      <c r="N54" s="14" t="str">
        <f aca="false">IF(G54&gt;0,I54/G54,"")</f>
        <v/>
      </c>
      <c r="O54" s="8" t="str">
        <f aca="false">IF(AND(I54&gt;0,K54&gt;0),K54/I54,"")</f>
        <v/>
      </c>
      <c r="P54" s="9" t="str">
        <f aca="false">IF(K54&gt;0,J54/K54,"")</f>
        <v/>
      </c>
      <c r="Q54" s="8" t="str">
        <f aca="false">IF(B54="","",J54-J54*INDEX('Unit Economics'!$B$10:$D$10,1,B54)-I54*INDEX('Unit Economics'!$B$11:$D$11,1,B54)-L54)</f>
        <v/>
      </c>
      <c r="R54" s="8" t="str">
        <f aca="false">IF(B54="","",Q54-K54*(1+INDEX('Unit Economics'!$B$12:$D$12,1,B54)))</f>
        <v/>
      </c>
      <c r="S54" s="3" t="str">
        <f aca="false">IF(O54="","",IF(O54&lt;=INDEX('Unit Economics'!$B$19:$D$19,1,B54),"Scale",IF(O54&lt;=INDEX('Unit Economics'!$B$18:$D$18,1,B54),"Keep","Losing money")))</f>
        <v/>
      </c>
    </row>
    <row r="55" customFormat="false" ht="15" hidden="false" customHeight="true" outlineLevel="0" collapsed="false">
      <c r="J55" s="15"/>
      <c r="K55" s="15"/>
      <c r="L55" s="15"/>
      <c r="M55" s="14" t="str">
        <f aca="false">IF(E55&gt;0,F55/E55,"")</f>
        <v/>
      </c>
      <c r="N55" s="14" t="str">
        <f aca="false">IF(G55&gt;0,I55/G55,"")</f>
        <v/>
      </c>
      <c r="O55" s="8" t="str">
        <f aca="false">IF(AND(I55&gt;0,K55&gt;0),K55/I55,"")</f>
        <v/>
      </c>
      <c r="P55" s="9" t="str">
        <f aca="false">IF(K55&gt;0,J55/K55,"")</f>
        <v/>
      </c>
      <c r="Q55" s="8" t="str">
        <f aca="false">IF(B55="","",J55-J55*INDEX('Unit Economics'!$B$10:$D$10,1,B55)-I55*INDEX('Unit Economics'!$B$11:$D$11,1,B55)-L55)</f>
        <v/>
      </c>
      <c r="R55" s="8" t="str">
        <f aca="false">IF(B55="","",Q55-K55*(1+INDEX('Unit Economics'!$B$12:$D$12,1,B55)))</f>
        <v/>
      </c>
      <c r="S55" s="3" t="str">
        <f aca="false">IF(O55="","",IF(O55&lt;=INDEX('Unit Economics'!$B$19:$D$19,1,B55),"Scale",IF(O55&lt;=INDEX('Unit Economics'!$B$18:$D$18,1,B55),"Keep","Losing money")))</f>
        <v/>
      </c>
    </row>
    <row r="56" customFormat="false" ht="15" hidden="false" customHeight="true" outlineLevel="0" collapsed="false">
      <c r="J56" s="15"/>
      <c r="K56" s="15"/>
      <c r="L56" s="15"/>
      <c r="M56" s="14" t="str">
        <f aca="false">IF(E56&gt;0,F56/E56,"")</f>
        <v/>
      </c>
      <c r="N56" s="14" t="str">
        <f aca="false">IF(G56&gt;0,I56/G56,"")</f>
        <v/>
      </c>
      <c r="O56" s="8" t="str">
        <f aca="false">IF(AND(I56&gt;0,K56&gt;0),K56/I56,"")</f>
        <v/>
      </c>
      <c r="P56" s="9" t="str">
        <f aca="false">IF(K56&gt;0,J56/K56,"")</f>
        <v/>
      </c>
      <c r="Q56" s="8" t="str">
        <f aca="false">IF(B56="","",J56-J56*INDEX('Unit Economics'!$B$10:$D$10,1,B56)-I56*INDEX('Unit Economics'!$B$11:$D$11,1,B56)-L56)</f>
        <v/>
      </c>
      <c r="R56" s="8" t="str">
        <f aca="false">IF(B56="","",Q56-K56*(1+INDEX('Unit Economics'!$B$12:$D$12,1,B56)))</f>
        <v/>
      </c>
      <c r="S56" s="3" t="str">
        <f aca="false">IF(O56="","",IF(O56&lt;=INDEX('Unit Economics'!$B$19:$D$19,1,B56),"Scale",IF(O56&lt;=INDEX('Unit Economics'!$B$18:$D$18,1,B56),"Keep","Losing money")))</f>
        <v/>
      </c>
    </row>
    <row r="57" customFormat="false" ht="15" hidden="false" customHeight="true" outlineLevel="0" collapsed="false">
      <c r="J57" s="15"/>
      <c r="K57" s="15"/>
      <c r="L57" s="15"/>
      <c r="M57" s="14" t="str">
        <f aca="false">IF(E57&gt;0,F57/E57,"")</f>
        <v/>
      </c>
      <c r="N57" s="14" t="str">
        <f aca="false">IF(G57&gt;0,I57/G57,"")</f>
        <v/>
      </c>
      <c r="O57" s="8" t="str">
        <f aca="false">IF(AND(I57&gt;0,K57&gt;0),K57/I57,"")</f>
        <v/>
      </c>
      <c r="P57" s="9" t="str">
        <f aca="false">IF(K57&gt;0,J57/K57,"")</f>
        <v/>
      </c>
      <c r="Q57" s="8" t="str">
        <f aca="false">IF(B57="","",J57-J57*INDEX('Unit Economics'!$B$10:$D$10,1,B57)-I57*INDEX('Unit Economics'!$B$11:$D$11,1,B57)-L57)</f>
        <v/>
      </c>
      <c r="R57" s="8" t="str">
        <f aca="false">IF(B57="","",Q57-K57*(1+INDEX('Unit Economics'!$B$12:$D$12,1,B57)))</f>
        <v/>
      </c>
      <c r="S57" s="3" t="str">
        <f aca="false">IF(O57="","",IF(O57&lt;=INDEX('Unit Economics'!$B$19:$D$19,1,B57),"Scale",IF(O57&lt;=INDEX('Unit Economics'!$B$18:$D$18,1,B57),"Keep","Losing money")))</f>
        <v/>
      </c>
    </row>
    <row r="58" customFormat="false" ht="15" hidden="false" customHeight="true" outlineLevel="0" collapsed="false">
      <c r="J58" s="15"/>
      <c r="K58" s="15"/>
      <c r="L58" s="15"/>
      <c r="M58" s="14" t="str">
        <f aca="false">IF(E58&gt;0,F58/E58,"")</f>
        <v/>
      </c>
      <c r="N58" s="14" t="str">
        <f aca="false">IF(G58&gt;0,I58/G58,"")</f>
        <v/>
      </c>
      <c r="O58" s="8" t="str">
        <f aca="false">IF(AND(I58&gt;0,K58&gt;0),K58/I58,"")</f>
        <v/>
      </c>
      <c r="P58" s="9" t="str">
        <f aca="false">IF(K58&gt;0,J58/K58,"")</f>
        <v/>
      </c>
      <c r="Q58" s="8" t="str">
        <f aca="false">IF(B58="","",J58-J58*INDEX('Unit Economics'!$B$10:$D$10,1,B58)-I58*INDEX('Unit Economics'!$B$11:$D$11,1,B58)-L58)</f>
        <v/>
      </c>
      <c r="R58" s="8" t="str">
        <f aca="false">IF(B58="","",Q58-K58*(1+INDEX('Unit Economics'!$B$12:$D$12,1,B58)))</f>
        <v/>
      </c>
      <c r="S58" s="3" t="str">
        <f aca="false">IF(O58="","",IF(O58&lt;=INDEX('Unit Economics'!$B$19:$D$19,1,B58),"Scale",IF(O58&lt;=INDEX('Unit Economics'!$B$18:$D$18,1,B58),"Keep","Losing money")))</f>
        <v/>
      </c>
    </row>
    <row r="59" customFormat="false" ht="15" hidden="false" customHeight="true" outlineLevel="0" collapsed="false">
      <c r="J59" s="15"/>
      <c r="K59" s="15"/>
      <c r="L59" s="15"/>
      <c r="M59" s="14" t="str">
        <f aca="false">IF(E59&gt;0,F59/E59,"")</f>
        <v/>
      </c>
      <c r="N59" s="14" t="str">
        <f aca="false">IF(G59&gt;0,I59/G59,"")</f>
        <v/>
      </c>
      <c r="O59" s="8" t="str">
        <f aca="false">IF(AND(I59&gt;0,K59&gt;0),K59/I59,"")</f>
        <v/>
      </c>
      <c r="P59" s="9" t="str">
        <f aca="false">IF(K59&gt;0,J59/K59,"")</f>
        <v/>
      </c>
      <c r="Q59" s="8" t="str">
        <f aca="false">IF(B59="","",J59-J59*INDEX('Unit Economics'!$B$10:$D$10,1,B59)-I59*INDEX('Unit Economics'!$B$11:$D$11,1,B59)-L59)</f>
        <v/>
      </c>
      <c r="R59" s="8" t="str">
        <f aca="false">IF(B59="","",Q59-K59*(1+INDEX('Unit Economics'!$B$12:$D$12,1,B59)))</f>
        <v/>
      </c>
      <c r="S59" s="3" t="str">
        <f aca="false">IF(O59="","",IF(O59&lt;=INDEX('Unit Economics'!$B$19:$D$19,1,B59),"Scale",IF(O59&lt;=INDEX('Unit Economics'!$B$18:$D$18,1,B59),"Keep","Losing money")))</f>
        <v/>
      </c>
    </row>
    <row r="60" customFormat="false" ht="15" hidden="false" customHeight="true" outlineLevel="0" collapsed="false">
      <c r="J60" s="15"/>
      <c r="K60" s="15"/>
      <c r="L60" s="15"/>
      <c r="M60" s="14" t="str">
        <f aca="false">IF(E60&gt;0,F60/E60,"")</f>
        <v/>
      </c>
      <c r="N60" s="14" t="str">
        <f aca="false">IF(G60&gt;0,I60/G60,"")</f>
        <v/>
      </c>
      <c r="O60" s="8" t="str">
        <f aca="false">IF(AND(I60&gt;0,K60&gt;0),K60/I60,"")</f>
        <v/>
      </c>
      <c r="P60" s="9" t="str">
        <f aca="false">IF(K60&gt;0,J60/K60,"")</f>
        <v/>
      </c>
      <c r="Q60" s="8" t="str">
        <f aca="false">IF(B60="","",J60-J60*INDEX('Unit Economics'!$B$10:$D$10,1,B60)-I60*INDEX('Unit Economics'!$B$11:$D$11,1,B60)-L60)</f>
        <v/>
      </c>
      <c r="R60" s="8" t="str">
        <f aca="false">IF(B60="","",Q60-K60*(1+INDEX('Unit Economics'!$B$12:$D$12,1,B60)))</f>
        <v/>
      </c>
      <c r="S60" s="3" t="str">
        <f aca="false">IF(O60="","",IF(O60&lt;=INDEX('Unit Economics'!$B$19:$D$19,1,B60),"Scale",IF(O60&lt;=INDEX('Unit Economics'!$B$18:$D$18,1,B60),"Keep","Losing money")))</f>
        <v/>
      </c>
    </row>
    <row r="61" customFormat="false" ht="15" hidden="false" customHeight="true" outlineLevel="0" collapsed="false">
      <c r="J61" s="15"/>
      <c r="K61" s="15"/>
      <c r="L61" s="15"/>
      <c r="M61" s="14" t="str">
        <f aca="false">IF(E61&gt;0,F61/E61,"")</f>
        <v/>
      </c>
      <c r="N61" s="14" t="str">
        <f aca="false">IF(G61&gt;0,I61/G61,"")</f>
        <v/>
      </c>
      <c r="O61" s="8" t="str">
        <f aca="false">IF(AND(I61&gt;0,K61&gt;0),K61/I61,"")</f>
        <v/>
      </c>
      <c r="P61" s="9" t="str">
        <f aca="false">IF(K61&gt;0,J61/K61,"")</f>
        <v/>
      </c>
      <c r="Q61" s="8" t="str">
        <f aca="false">IF(B61="","",J61-J61*INDEX('Unit Economics'!$B$10:$D$10,1,B61)-I61*INDEX('Unit Economics'!$B$11:$D$11,1,B61)-L61)</f>
        <v/>
      </c>
      <c r="R61" s="8" t="str">
        <f aca="false">IF(B61="","",Q61-K61*(1+INDEX('Unit Economics'!$B$12:$D$12,1,B61)))</f>
        <v/>
      </c>
      <c r="S61" s="3" t="str">
        <f aca="false">IF(O61="","",IF(O61&lt;=INDEX('Unit Economics'!$B$19:$D$19,1,B61),"Scale",IF(O61&lt;=INDEX('Unit Economics'!$B$18:$D$18,1,B61),"Keep","Losing money")))</f>
        <v/>
      </c>
    </row>
    <row r="62" customFormat="false" ht="15" hidden="false" customHeight="true" outlineLevel="0" collapsed="false">
      <c r="J62" s="15"/>
      <c r="K62" s="15"/>
      <c r="L62" s="15"/>
      <c r="M62" s="14" t="str">
        <f aca="false">IF(E62&gt;0,F62/E62,"")</f>
        <v/>
      </c>
      <c r="N62" s="14" t="str">
        <f aca="false">IF(G62&gt;0,I62/G62,"")</f>
        <v/>
      </c>
      <c r="O62" s="8" t="str">
        <f aca="false">IF(AND(I62&gt;0,K62&gt;0),K62/I62,"")</f>
        <v/>
      </c>
      <c r="P62" s="9" t="str">
        <f aca="false">IF(K62&gt;0,J62/K62,"")</f>
        <v/>
      </c>
      <c r="Q62" s="8" t="str">
        <f aca="false">IF(B62="","",J62-J62*INDEX('Unit Economics'!$B$10:$D$10,1,B62)-I62*INDEX('Unit Economics'!$B$11:$D$11,1,B62)-L62)</f>
        <v/>
      </c>
      <c r="R62" s="8" t="str">
        <f aca="false">IF(B62="","",Q62-K62*(1+INDEX('Unit Economics'!$B$12:$D$12,1,B62)))</f>
        <v/>
      </c>
      <c r="S62" s="3" t="str">
        <f aca="false">IF(O62="","",IF(O62&lt;=INDEX('Unit Economics'!$B$19:$D$19,1,B62),"Scale",IF(O62&lt;=INDEX('Unit Economics'!$B$18:$D$18,1,B62),"Keep","Losing money")))</f>
        <v/>
      </c>
    </row>
    <row r="63" customFormat="false" ht="15" hidden="false" customHeight="true" outlineLevel="0" collapsed="false">
      <c r="J63" s="15"/>
      <c r="K63" s="15"/>
      <c r="L63" s="15"/>
      <c r="M63" s="14" t="str">
        <f aca="false">IF(E63&gt;0,F63/E63,"")</f>
        <v/>
      </c>
      <c r="N63" s="14" t="str">
        <f aca="false">IF(G63&gt;0,I63/G63,"")</f>
        <v/>
      </c>
      <c r="O63" s="8" t="str">
        <f aca="false">IF(AND(I63&gt;0,K63&gt;0),K63/I63,"")</f>
        <v/>
      </c>
      <c r="P63" s="9" t="str">
        <f aca="false">IF(K63&gt;0,J63/K63,"")</f>
        <v/>
      </c>
      <c r="Q63" s="8" t="str">
        <f aca="false">IF(B63="","",J63-J63*INDEX('Unit Economics'!$B$10:$D$10,1,B63)-I63*INDEX('Unit Economics'!$B$11:$D$11,1,B63)-L63)</f>
        <v/>
      </c>
      <c r="R63" s="8" t="str">
        <f aca="false">IF(B63="","",Q63-K63*(1+INDEX('Unit Economics'!$B$12:$D$12,1,B63)))</f>
        <v/>
      </c>
      <c r="S63" s="3" t="str">
        <f aca="false">IF(O63="","",IF(O63&lt;=INDEX('Unit Economics'!$B$19:$D$19,1,B63),"Scale",IF(O63&lt;=INDEX('Unit Economics'!$B$18:$D$18,1,B63),"Keep","Losing money")))</f>
        <v/>
      </c>
    </row>
    <row r="64" customFormat="false" ht="15" hidden="false" customHeight="true" outlineLevel="0" collapsed="false">
      <c r="J64" s="15"/>
      <c r="K64" s="15"/>
      <c r="L64" s="15"/>
      <c r="M64" s="14" t="str">
        <f aca="false">IF(E64&gt;0,F64/E64,"")</f>
        <v/>
      </c>
      <c r="N64" s="14" t="str">
        <f aca="false">IF(G64&gt;0,I64/G64,"")</f>
        <v/>
      </c>
      <c r="O64" s="8" t="str">
        <f aca="false">IF(AND(I64&gt;0,K64&gt;0),K64/I64,"")</f>
        <v/>
      </c>
      <c r="P64" s="9" t="str">
        <f aca="false">IF(K64&gt;0,J64/K64,"")</f>
        <v/>
      </c>
      <c r="Q64" s="8" t="str">
        <f aca="false">IF(B64="","",J64-J64*INDEX('Unit Economics'!$B$10:$D$10,1,B64)-I64*INDEX('Unit Economics'!$B$11:$D$11,1,B64)-L64)</f>
        <v/>
      </c>
      <c r="R64" s="8" t="str">
        <f aca="false">IF(B64="","",Q64-K64*(1+INDEX('Unit Economics'!$B$12:$D$12,1,B64)))</f>
        <v/>
      </c>
      <c r="S64" s="3" t="str">
        <f aca="false">IF(O64="","",IF(O64&lt;=INDEX('Unit Economics'!$B$19:$D$19,1,B64),"Scale",IF(O64&lt;=INDEX('Unit Economics'!$B$18:$D$18,1,B64),"Keep","Losing money")))</f>
        <v/>
      </c>
    </row>
    <row r="65" customFormat="false" ht="15" hidden="false" customHeight="true" outlineLevel="0" collapsed="false">
      <c r="J65" s="15"/>
      <c r="K65" s="15"/>
      <c r="L65" s="15"/>
      <c r="M65" s="14" t="str">
        <f aca="false">IF(E65&gt;0,F65/E65,"")</f>
        <v/>
      </c>
      <c r="N65" s="14" t="str">
        <f aca="false">IF(G65&gt;0,I65/G65,"")</f>
        <v/>
      </c>
      <c r="O65" s="8" t="str">
        <f aca="false">IF(AND(I65&gt;0,K65&gt;0),K65/I65,"")</f>
        <v/>
      </c>
      <c r="P65" s="9" t="str">
        <f aca="false">IF(K65&gt;0,J65/K65,"")</f>
        <v/>
      </c>
      <c r="Q65" s="8" t="str">
        <f aca="false">IF(B65="","",J65-J65*INDEX('Unit Economics'!$B$10:$D$10,1,B65)-I65*INDEX('Unit Economics'!$B$11:$D$11,1,B65)-L65)</f>
        <v/>
      </c>
      <c r="R65" s="8" t="str">
        <f aca="false">IF(B65="","",Q65-K65*(1+INDEX('Unit Economics'!$B$12:$D$12,1,B65)))</f>
        <v/>
      </c>
      <c r="S65" s="3" t="str">
        <f aca="false">IF(O65="","",IF(O65&lt;=INDEX('Unit Economics'!$B$19:$D$19,1,B65),"Scale",IF(O65&lt;=INDEX('Unit Economics'!$B$18:$D$18,1,B65),"Keep","Losing money")))</f>
        <v/>
      </c>
    </row>
    <row r="66" customFormat="false" ht="15" hidden="false" customHeight="true" outlineLevel="0" collapsed="false">
      <c r="J66" s="15"/>
      <c r="K66" s="15"/>
      <c r="L66" s="15"/>
      <c r="M66" s="14" t="str">
        <f aca="false">IF(E66&gt;0,F66/E66,"")</f>
        <v/>
      </c>
      <c r="N66" s="14" t="str">
        <f aca="false">IF(G66&gt;0,I66/G66,"")</f>
        <v/>
      </c>
      <c r="O66" s="8" t="str">
        <f aca="false">IF(AND(I66&gt;0,K66&gt;0),K66/I66,"")</f>
        <v/>
      </c>
      <c r="P66" s="9" t="str">
        <f aca="false">IF(K66&gt;0,J66/K66,"")</f>
        <v/>
      </c>
      <c r="Q66" s="8" t="str">
        <f aca="false">IF(B66="","",J66-J66*INDEX('Unit Economics'!$B$10:$D$10,1,B66)-I66*INDEX('Unit Economics'!$B$11:$D$11,1,B66)-L66)</f>
        <v/>
      </c>
      <c r="R66" s="8" t="str">
        <f aca="false">IF(B66="","",Q66-K66*(1+INDEX('Unit Economics'!$B$12:$D$12,1,B66)))</f>
        <v/>
      </c>
      <c r="S66" s="3" t="str">
        <f aca="false">IF(O66="","",IF(O66&lt;=INDEX('Unit Economics'!$B$19:$D$19,1,B66),"Scale",IF(O66&lt;=INDEX('Unit Economics'!$B$18:$D$18,1,B66),"Keep","Losing money")))</f>
        <v/>
      </c>
    </row>
    <row r="67" customFormat="false" ht="15" hidden="false" customHeight="true" outlineLevel="0" collapsed="false">
      <c r="J67" s="15"/>
      <c r="K67" s="15"/>
      <c r="L67" s="15"/>
      <c r="M67" s="14" t="str">
        <f aca="false">IF(E67&gt;0,F67/E67,"")</f>
        <v/>
      </c>
      <c r="N67" s="14" t="str">
        <f aca="false">IF(G67&gt;0,I67/G67,"")</f>
        <v/>
      </c>
      <c r="O67" s="8" t="str">
        <f aca="false">IF(AND(I67&gt;0,K67&gt;0),K67/I67,"")</f>
        <v/>
      </c>
      <c r="P67" s="9" t="str">
        <f aca="false">IF(K67&gt;0,J67/K67,"")</f>
        <v/>
      </c>
      <c r="Q67" s="8" t="str">
        <f aca="false">IF(B67="","",J67-J67*INDEX('Unit Economics'!$B$10:$D$10,1,B67)-I67*INDEX('Unit Economics'!$B$11:$D$11,1,B67)-L67)</f>
        <v/>
      </c>
      <c r="R67" s="8" t="str">
        <f aca="false">IF(B67="","",Q67-K67*(1+INDEX('Unit Economics'!$B$12:$D$12,1,B67)))</f>
        <v/>
      </c>
      <c r="S67" s="3" t="str">
        <f aca="false">IF(O67="","",IF(O67&lt;=INDEX('Unit Economics'!$B$19:$D$19,1,B67),"Scale",IF(O67&lt;=INDEX('Unit Economics'!$B$18:$D$18,1,B67),"Keep","Losing money")))</f>
        <v/>
      </c>
    </row>
    <row r="68" customFormat="false" ht="15" hidden="false" customHeight="true" outlineLevel="0" collapsed="false">
      <c r="J68" s="15"/>
      <c r="K68" s="15"/>
      <c r="L68" s="15"/>
      <c r="M68" s="14" t="str">
        <f aca="false">IF(E68&gt;0,F68/E68,"")</f>
        <v/>
      </c>
      <c r="N68" s="14" t="str">
        <f aca="false">IF(G68&gt;0,I68/G68,"")</f>
        <v/>
      </c>
      <c r="O68" s="8" t="str">
        <f aca="false">IF(AND(I68&gt;0,K68&gt;0),K68/I68,"")</f>
        <v/>
      </c>
      <c r="P68" s="9" t="str">
        <f aca="false">IF(K68&gt;0,J68/K68,"")</f>
        <v/>
      </c>
      <c r="Q68" s="8" t="str">
        <f aca="false">IF(B68="","",J68-J68*INDEX('Unit Economics'!$B$10:$D$10,1,B68)-I68*INDEX('Unit Economics'!$B$11:$D$11,1,B68)-L68)</f>
        <v/>
      </c>
      <c r="R68" s="8" t="str">
        <f aca="false">IF(B68="","",Q68-K68*(1+INDEX('Unit Economics'!$B$12:$D$12,1,B68)))</f>
        <v/>
      </c>
      <c r="S68" s="3" t="str">
        <f aca="false">IF(O68="","",IF(O68&lt;=INDEX('Unit Economics'!$B$19:$D$19,1,B68),"Scale",IF(O68&lt;=INDEX('Unit Economics'!$B$18:$D$18,1,B68),"Keep","Losing money")))</f>
        <v/>
      </c>
    </row>
    <row r="69" customFormat="false" ht="15" hidden="false" customHeight="true" outlineLevel="0" collapsed="false">
      <c r="J69" s="15"/>
      <c r="K69" s="15"/>
      <c r="L69" s="15"/>
      <c r="M69" s="14" t="str">
        <f aca="false">IF(E69&gt;0,F69/E69,"")</f>
        <v/>
      </c>
      <c r="N69" s="14" t="str">
        <f aca="false">IF(G69&gt;0,I69/G69,"")</f>
        <v/>
      </c>
      <c r="O69" s="8" t="str">
        <f aca="false">IF(AND(I69&gt;0,K69&gt;0),K69/I69,"")</f>
        <v/>
      </c>
      <c r="P69" s="9" t="str">
        <f aca="false">IF(K69&gt;0,J69/K69,"")</f>
        <v/>
      </c>
      <c r="Q69" s="8" t="str">
        <f aca="false">IF(B69="","",J69-J69*INDEX('Unit Economics'!$B$10:$D$10,1,B69)-I69*INDEX('Unit Economics'!$B$11:$D$11,1,B69)-L69)</f>
        <v/>
      </c>
      <c r="R69" s="8" t="str">
        <f aca="false">IF(B69="","",Q69-K69*(1+INDEX('Unit Economics'!$B$12:$D$12,1,B69)))</f>
        <v/>
      </c>
      <c r="S69" s="3" t="str">
        <f aca="false">IF(O69="","",IF(O69&lt;=INDEX('Unit Economics'!$B$19:$D$19,1,B69),"Scale",IF(O69&lt;=INDEX('Unit Economics'!$B$18:$D$18,1,B69),"Keep","Losing money")))</f>
        <v/>
      </c>
    </row>
    <row r="70" customFormat="false" ht="15" hidden="false" customHeight="true" outlineLevel="0" collapsed="false">
      <c r="J70" s="15"/>
      <c r="K70" s="15"/>
      <c r="L70" s="15"/>
      <c r="M70" s="14" t="str">
        <f aca="false">IF(E70&gt;0,F70/E70,"")</f>
        <v/>
      </c>
      <c r="N70" s="14" t="str">
        <f aca="false">IF(G70&gt;0,I70/G70,"")</f>
        <v/>
      </c>
      <c r="O70" s="8" t="str">
        <f aca="false">IF(AND(I70&gt;0,K70&gt;0),K70/I70,"")</f>
        <v/>
      </c>
      <c r="P70" s="9" t="str">
        <f aca="false">IF(K70&gt;0,J70/K70,"")</f>
        <v/>
      </c>
      <c r="Q70" s="8" t="str">
        <f aca="false">IF(B70="","",J70-J70*INDEX('Unit Economics'!$B$10:$D$10,1,B70)-I70*INDEX('Unit Economics'!$B$11:$D$11,1,B70)-L70)</f>
        <v/>
      </c>
      <c r="R70" s="8" t="str">
        <f aca="false">IF(B70="","",Q70-K70*(1+INDEX('Unit Economics'!$B$12:$D$12,1,B70)))</f>
        <v/>
      </c>
      <c r="S70" s="3" t="str">
        <f aca="false">IF(O70="","",IF(O70&lt;=INDEX('Unit Economics'!$B$19:$D$19,1,B70),"Scale",IF(O70&lt;=INDEX('Unit Economics'!$B$18:$D$18,1,B70),"Keep","Losing money")))</f>
        <v/>
      </c>
    </row>
    <row r="71" customFormat="false" ht="15" hidden="false" customHeight="true" outlineLevel="0" collapsed="false">
      <c r="J71" s="15"/>
      <c r="K71" s="15"/>
      <c r="L71" s="15"/>
      <c r="M71" s="14" t="str">
        <f aca="false">IF(E71&gt;0,F71/E71,"")</f>
        <v/>
      </c>
      <c r="N71" s="14" t="str">
        <f aca="false">IF(G71&gt;0,I71/G71,"")</f>
        <v/>
      </c>
      <c r="O71" s="8" t="str">
        <f aca="false">IF(AND(I71&gt;0,K71&gt;0),K71/I71,"")</f>
        <v/>
      </c>
      <c r="P71" s="9" t="str">
        <f aca="false">IF(K71&gt;0,J71/K71,"")</f>
        <v/>
      </c>
      <c r="Q71" s="8" t="str">
        <f aca="false">IF(B71="","",J71-J71*INDEX('Unit Economics'!$B$10:$D$10,1,B71)-I71*INDEX('Unit Economics'!$B$11:$D$11,1,B71)-L71)</f>
        <v/>
      </c>
      <c r="R71" s="8" t="str">
        <f aca="false">IF(B71="","",Q71-K71*(1+INDEX('Unit Economics'!$B$12:$D$12,1,B71)))</f>
        <v/>
      </c>
      <c r="S71" s="3" t="str">
        <f aca="false">IF(O71="","",IF(O71&lt;=INDEX('Unit Economics'!$B$19:$D$19,1,B71),"Scale",IF(O71&lt;=INDEX('Unit Economics'!$B$18:$D$18,1,B71),"Keep","Losing money")))</f>
        <v/>
      </c>
    </row>
    <row r="72" customFormat="false" ht="15" hidden="false" customHeight="true" outlineLevel="0" collapsed="false">
      <c r="J72" s="15"/>
      <c r="K72" s="15"/>
      <c r="L72" s="15"/>
      <c r="M72" s="14" t="str">
        <f aca="false">IF(E72&gt;0,F72/E72,"")</f>
        <v/>
      </c>
      <c r="N72" s="14" t="str">
        <f aca="false">IF(G72&gt;0,I72/G72,"")</f>
        <v/>
      </c>
      <c r="O72" s="8" t="str">
        <f aca="false">IF(AND(I72&gt;0,K72&gt;0),K72/I72,"")</f>
        <v/>
      </c>
      <c r="P72" s="9" t="str">
        <f aca="false">IF(K72&gt;0,J72/K72,"")</f>
        <v/>
      </c>
      <c r="Q72" s="8" t="str">
        <f aca="false">IF(B72="","",J72-J72*INDEX('Unit Economics'!$B$10:$D$10,1,B72)-I72*INDEX('Unit Economics'!$B$11:$D$11,1,B72)-L72)</f>
        <v/>
      </c>
      <c r="R72" s="8" t="str">
        <f aca="false">IF(B72="","",Q72-K72*(1+INDEX('Unit Economics'!$B$12:$D$12,1,B72)))</f>
        <v/>
      </c>
      <c r="S72" s="3" t="str">
        <f aca="false">IF(O72="","",IF(O72&lt;=INDEX('Unit Economics'!$B$19:$D$19,1,B72),"Scale",IF(O72&lt;=INDEX('Unit Economics'!$B$18:$D$18,1,B72),"Keep","Losing money")))</f>
        <v/>
      </c>
    </row>
    <row r="73" customFormat="false" ht="15" hidden="false" customHeight="true" outlineLevel="0" collapsed="false">
      <c r="J73" s="15"/>
      <c r="K73" s="15"/>
      <c r="L73" s="15"/>
      <c r="M73" s="14" t="str">
        <f aca="false">IF(E73&gt;0,F73/E73,"")</f>
        <v/>
      </c>
      <c r="N73" s="14" t="str">
        <f aca="false">IF(G73&gt;0,I73/G73,"")</f>
        <v/>
      </c>
      <c r="O73" s="8" t="str">
        <f aca="false">IF(AND(I73&gt;0,K73&gt;0),K73/I73,"")</f>
        <v/>
      </c>
      <c r="P73" s="9" t="str">
        <f aca="false">IF(K73&gt;0,J73/K73,"")</f>
        <v/>
      </c>
      <c r="Q73" s="8" t="str">
        <f aca="false">IF(B73="","",J73-J73*INDEX('Unit Economics'!$B$10:$D$10,1,B73)-I73*INDEX('Unit Economics'!$B$11:$D$11,1,B73)-L73)</f>
        <v/>
      </c>
      <c r="R73" s="8" t="str">
        <f aca="false">IF(B73="","",Q73-K73*(1+INDEX('Unit Economics'!$B$12:$D$12,1,B73)))</f>
        <v/>
      </c>
      <c r="S73" s="3" t="str">
        <f aca="false">IF(O73="","",IF(O73&lt;=INDEX('Unit Economics'!$B$19:$D$19,1,B73),"Scale",IF(O73&lt;=INDEX('Unit Economics'!$B$18:$D$18,1,B73),"Keep","Losing money")))</f>
        <v/>
      </c>
    </row>
    <row r="74" customFormat="false" ht="15" hidden="false" customHeight="true" outlineLevel="0" collapsed="false">
      <c r="J74" s="15"/>
      <c r="K74" s="15"/>
      <c r="L74" s="15"/>
      <c r="M74" s="14" t="str">
        <f aca="false">IF(E74&gt;0,F74/E74,"")</f>
        <v/>
      </c>
      <c r="N74" s="14" t="str">
        <f aca="false">IF(G74&gt;0,I74/G74,"")</f>
        <v/>
      </c>
      <c r="O74" s="8" t="str">
        <f aca="false">IF(AND(I74&gt;0,K74&gt;0),K74/I74,"")</f>
        <v/>
      </c>
      <c r="P74" s="9" t="str">
        <f aca="false">IF(K74&gt;0,J74/K74,"")</f>
        <v/>
      </c>
      <c r="Q74" s="8" t="str">
        <f aca="false">IF(B74="","",J74-J74*INDEX('Unit Economics'!$B$10:$D$10,1,B74)-I74*INDEX('Unit Economics'!$B$11:$D$11,1,B74)-L74)</f>
        <v/>
      </c>
      <c r="R74" s="8" t="str">
        <f aca="false">IF(B74="","",Q74-K74*(1+INDEX('Unit Economics'!$B$12:$D$12,1,B74)))</f>
        <v/>
      </c>
      <c r="S74" s="3" t="str">
        <f aca="false">IF(O74="","",IF(O74&lt;=INDEX('Unit Economics'!$B$19:$D$19,1,B74),"Scale",IF(O74&lt;=INDEX('Unit Economics'!$B$18:$D$18,1,B74),"Keep","Losing money")))</f>
        <v/>
      </c>
    </row>
    <row r="75" customFormat="false" ht="15" hidden="false" customHeight="true" outlineLevel="0" collapsed="false">
      <c r="J75" s="15"/>
      <c r="K75" s="15"/>
      <c r="L75" s="15"/>
      <c r="M75" s="14" t="str">
        <f aca="false">IF(E75&gt;0,F75/E75,"")</f>
        <v/>
      </c>
      <c r="N75" s="14" t="str">
        <f aca="false">IF(G75&gt;0,I75/G75,"")</f>
        <v/>
      </c>
      <c r="O75" s="8" t="str">
        <f aca="false">IF(AND(I75&gt;0,K75&gt;0),K75/I75,"")</f>
        <v/>
      </c>
      <c r="P75" s="9" t="str">
        <f aca="false">IF(K75&gt;0,J75/K75,"")</f>
        <v/>
      </c>
      <c r="Q75" s="8" t="str">
        <f aca="false">IF(B75="","",J75-J75*INDEX('Unit Economics'!$B$10:$D$10,1,B75)-I75*INDEX('Unit Economics'!$B$11:$D$11,1,B75)-L75)</f>
        <v/>
      </c>
      <c r="R75" s="8" t="str">
        <f aca="false">IF(B75="","",Q75-K75*(1+INDEX('Unit Economics'!$B$12:$D$12,1,B75)))</f>
        <v/>
      </c>
      <c r="S75" s="3" t="str">
        <f aca="false">IF(O75="","",IF(O75&lt;=INDEX('Unit Economics'!$B$19:$D$19,1,B75),"Scale",IF(O75&lt;=INDEX('Unit Economics'!$B$18:$D$18,1,B75),"Keep","Losing money")))</f>
        <v/>
      </c>
    </row>
    <row r="76" customFormat="false" ht="15" hidden="false" customHeight="true" outlineLevel="0" collapsed="false">
      <c r="J76" s="15"/>
      <c r="K76" s="15"/>
      <c r="L76" s="15"/>
      <c r="M76" s="14" t="str">
        <f aca="false">IF(E76&gt;0,F76/E76,"")</f>
        <v/>
      </c>
      <c r="N76" s="14" t="str">
        <f aca="false">IF(G76&gt;0,I76/G76,"")</f>
        <v/>
      </c>
      <c r="O76" s="8" t="str">
        <f aca="false">IF(AND(I76&gt;0,K76&gt;0),K76/I76,"")</f>
        <v/>
      </c>
      <c r="P76" s="9" t="str">
        <f aca="false">IF(K76&gt;0,J76/K76,"")</f>
        <v/>
      </c>
      <c r="Q76" s="8" t="str">
        <f aca="false">IF(B76="","",J76-J76*INDEX('Unit Economics'!$B$10:$D$10,1,B76)-I76*INDEX('Unit Economics'!$B$11:$D$11,1,B76)-L76)</f>
        <v/>
      </c>
      <c r="R76" s="8" t="str">
        <f aca="false">IF(B76="","",Q76-K76*(1+INDEX('Unit Economics'!$B$12:$D$12,1,B76)))</f>
        <v/>
      </c>
      <c r="S76" s="3" t="str">
        <f aca="false">IF(O76="","",IF(O76&lt;=INDEX('Unit Economics'!$B$19:$D$19,1,B76),"Scale",IF(O76&lt;=INDEX('Unit Economics'!$B$18:$D$18,1,B76),"Keep","Losing money")))</f>
        <v/>
      </c>
    </row>
    <row r="77" customFormat="false" ht="15" hidden="false" customHeight="true" outlineLevel="0" collapsed="false">
      <c r="J77" s="15"/>
      <c r="K77" s="15"/>
      <c r="L77" s="15"/>
      <c r="M77" s="14" t="str">
        <f aca="false">IF(E77&gt;0,F77/E77,"")</f>
        <v/>
      </c>
      <c r="N77" s="14" t="str">
        <f aca="false">IF(G77&gt;0,I77/G77,"")</f>
        <v/>
      </c>
      <c r="O77" s="8" t="str">
        <f aca="false">IF(AND(I77&gt;0,K77&gt;0),K77/I77,"")</f>
        <v/>
      </c>
      <c r="P77" s="9" t="str">
        <f aca="false">IF(K77&gt;0,J77/K77,"")</f>
        <v/>
      </c>
      <c r="Q77" s="8" t="str">
        <f aca="false">IF(B77="","",J77-J77*INDEX('Unit Economics'!$B$10:$D$10,1,B77)-I77*INDEX('Unit Economics'!$B$11:$D$11,1,B77)-L77)</f>
        <v/>
      </c>
      <c r="R77" s="8" t="str">
        <f aca="false">IF(B77="","",Q77-K77*(1+INDEX('Unit Economics'!$B$12:$D$12,1,B77)))</f>
        <v/>
      </c>
      <c r="S77" s="3" t="str">
        <f aca="false">IF(O77="","",IF(O77&lt;=INDEX('Unit Economics'!$B$19:$D$19,1,B77),"Scale",IF(O77&lt;=INDEX('Unit Economics'!$B$18:$D$18,1,B77),"Keep","Losing money")))</f>
        <v/>
      </c>
    </row>
    <row r="78" customFormat="false" ht="15" hidden="false" customHeight="true" outlineLevel="0" collapsed="false">
      <c r="J78" s="15"/>
      <c r="K78" s="15"/>
      <c r="L78" s="15"/>
      <c r="M78" s="14" t="str">
        <f aca="false">IF(E78&gt;0,F78/E78,"")</f>
        <v/>
      </c>
      <c r="N78" s="14" t="str">
        <f aca="false">IF(G78&gt;0,I78/G78,"")</f>
        <v/>
      </c>
      <c r="O78" s="8" t="str">
        <f aca="false">IF(AND(I78&gt;0,K78&gt;0),K78/I78,"")</f>
        <v/>
      </c>
      <c r="P78" s="9" t="str">
        <f aca="false">IF(K78&gt;0,J78/K78,"")</f>
        <v/>
      </c>
      <c r="Q78" s="8" t="str">
        <f aca="false">IF(B78="","",J78-J78*INDEX('Unit Economics'!$B$10:$D$10,1,B78)-I78*INDEX('Unit Economics'!$B$11:$D$11,1,B78)-L78)</f>
        <v/>
      </c>
      <c r="R78" s="8" t="str">
        <f aca="false">IF(B78="","",Q78-K78*(1+INDEX('Unit Economics'!$B$12:$D$12,1,B78)))</f>
        <v/>
      </c>
      <c r="S78" s="3" t="str">
        <f aca="false">IF(O78="","",IF(O78&lt;=INDEX('Unit Economics'!$B$19:$D$19,1,B78),"Scale",IF(O78&lt;=INDEX('Unit Economics'!$B$18:$D$18,1,B78),"Keep","Losing money")))</f>
        <v/>
      </c>
    </row>
    <row r="79" customFormat="false" ht="15" hidden="false" customHeight="true" outlineLevel="0" collapsed="false">
      <c r="J79" s="15"/>
      <c r="K79" s="15"/>
      <c r="L79" s="15"/>
      <c r="M79" s="14" t="str">
        <f aca="false">IF(E79&gt;0,F79/E79,"")</f>
        <v/>
      </c>
      <c r="N79" s="14" t="str">
        <f aca="false">IF(G79&gt;0,I79/G79,"")</f>
        <v/>
      </c>
      <c r="O79" s="8" t="str">
        <f aca="false">IF(AND(I79&gt;0,K79&gt;0),K79/I79,"")</f>
        <v/>
      </c>
      <c r="P79" s="9" t="str">
        <f aca="false">IF(K79&gt;0,J79/K79,"")</f>
        <v/>
      </c>
      <c r="Q79" s="8" t="str">
        <f aca="false">IF(B79="","",J79-J79*INDEX('Unit Economics'!$B$10:$D$10,1,B79)-I79*INDEX('Unit Economics'!$B$11:$D$11,1,B79)-L79)</f>
        <v/>
      </c>
      <c r="R79" s="8" t="str">
        <f aca="false">IF(B79="","",Q79-K79*(1+INDEX('Unit Economics'!$B$12:$D$12,1,B79)))</f>
        <v/>
      </c>
      <c r="S79" s="3" t="str">
        <f aca="false">IF(O79="","",IF(O79&lt;=INDEX('Unit Economics'!$B$19:$D$19,1,B79),"Scale",IF(O79&lt;=INDEX('Unit Economics'!$B$18:$D$18,1,B79),"Keep","Losing money")))</f>
        <v/>
      </c>
    </row>
    <row r="80" customFormat="false" ht="15" hidden="false" customHeight="true" outlineLevel="0" collapsed="false">
      <c r="J80" s="15"/>
      <c r="K80" s="15"/>
      <c r="L80" s="15"/>
      <c r="M80" s="14" t="str">
        <f aca="false">IF(E80&gt;0,F80/E80,"")</f>
        <v/>
      </c>
      <c r="N80" s="14" t="str">
        <f aca="false">IF(G80&gt;0,I80/G80,"")</f>
        <v/>
      </c>
      <c r="O80" s="8" t="str">
        <f aca="false">IF(AND(I80&gt;0,K80&gt;0),K80/I80,"")</f>
        <v/>
      </c>
      <c r="P80" s="9" t="str">
        <f aca="false">IF(K80&gt;0,J80/K80,"")</f>
        <v/>
      </c>
      <c r="Q80" s="8" t="str">
        <f aca="false">IF(B80="","",J80-J80*INDEX('Unit Economics'!$B$10:$D$10,1,B80)-I80*INDEX('Unit Economics'!$B$11:$D$11,1,B80)-L80)</f>
        <v/>
      </c>
      <c r="R80" s="8" t="str">
        <f aca="false">IF(B80="","",Q80-K80*(1+INDEX('Unit Economics'!$B$12:$D$12,1,B80)))</f>
        <v/>
      </c>
      <c r="S80" s="3" t="str">
        <f aca="false">IF(O80="","",IF(O80&lt;=INDEX('Unit Economics'!$B$19:$D$19,1,B80),"Scale",IF(O80&lt;=INDEX('Unit Economics'!$B$18:$D$18,1,B80),"Keep","Losing money")))</f>
        <v/>
      </c>
    </row>
    <row r="81" customFormat="false" ht="15" hidden="false" customHeight="true" outlineLevel="0" collapsed="false">
      <c r="J81" s="15"/>
      <c r="K81" s="15"/>
      <c r="L81" s="15"/>
      <c r="M81" s="14" t="str">
        <f aca="false">IF(E81&gt;0,F81/E81,"")</f>
        <v/>
      </c>
      <c r="N81" s="14" t="str">
        <f aca="false">IF(G81&gt;0,I81/G81,"")</f>
        <v/>
      </c>
      <c r="O81" s="8" t="str">
        <f aca="false">IF(AND(I81&gt;0,K81&gt;0),K81/I81,"")</f>
        <v/>
      </c>
      <c r="P81" s="9" t="str">
        <f aca="false">IF(K81&gt;0,J81/K81,"")</f>
        <v/>
      </c>
      <c r="Q81" s="8" t="str">
        <f aca="false">IF(B81="","",J81-J81*INDEX('Unit Economics'!$B$10:$D$10,1,B81)-I81*INDEX('Unit Economics'!$B$11:$D$11,1,B81)-L81)</f>
        <v/>
      </c>
      <c r="R81" s="8" t="str">
        <f aca="false">IF(B81="","",Q81-K81*(1+INDEX('Unit Economics'!$B$12:$D$12,1,B81)))</f>
        <v/>
      </c>
      <c r="S81" s="3" t="str">
        <f aca="false">IF(O81="","",IF(O81&lt;=INDEX('Unit Economics'!$B$19:$D$19,1,B81),"Scale",IF(O81&lt;=INDEX('Unit Economics'!$B$18:$D$18,1,B81),"Keep","Losing money")))</f>
        <v/>
      </c>
    </row>
    <row r="82" customFormat="false" ht="15" hidden="false" customHeight="true" outlineLevel="0" collapsed="false">
      <c r="J82" s="15"/>
      <c r="K82" s="15"/>
      <c r="L82" s="15"/>
      <c r="M82" s="14" t="str">
        <f aca="false">IF(E82&gt;0,F82/E82,"")</f>
        <v/>
      </c>
      <c r="N82" s="14" t="str">
        <f aca="false">IF(G82&gt;0,I82/G82,"")</f>
        <v/>
      </c>
      <c r="O82" s="8" t="str">
        <f aca="false">IF(AND(I82&gt;0,K82&gt;0),K82/I82,"")</f>
        <v/>
      </c>
      <c r="P82" s="9" t="str">
        <f aca="false">IF(K82&gt;0,J82/K82,"")</f>
        <v/>
      </c>
      <c r="Q82" s="8" t="str">
        <f aca="false">IF(B82="","",J82-J82*INDEX('Unit Economics'!$B$10:$D$10,1,B82)-I82*INDEX('Unit Economics'!$B$11:$D$11,1,B82)-L82)</f>
        <v/>
      </c>
      <c r="R82" s="8" t="str">
        <f aca="false">IF(B82="","",Q82-K82*(1+INDEX('Unit Economics'!$B$12:$D$12,1,B82)))</f>
        <v/>
      </c>
      <c r="S82" s="3" t="str">
        <f aca="false">IF(O82="","",IF(O82&lt;=INDEX('Unit Economics'!$B$19:$D$19,1,B82),"Scale",IF(O82&lt;=INDEX('Unit Economics'!$B$18:$D$18,1,B82),"Keep","Losing money")))</f>
        <v/>
      </c>
    </row>
    <row r="83" customFormat="false" ht="15" hidden="false" customHeight="true" outlineLevel="0" collapsed="false">
      <c r="J83" s="15"/>
      <c r="K83" s="15"/>
      <c r="L83" s="15"/>
      <c r="M83" s="14" t="str">
        <f aca="false">IF(E83&gt;0,F83/E83,"")</f>
        <v/>
      </c>
      <c r="N83" s="14" t="str">
        <f aca="false">IF(G83&gt;0,I83/G83,"")</f>
        <v/>
      </c>
      <c r="O83" s="8" t="str">
        <f aca="false">IF(AND(I83&gt;0,K83&gt;0),K83/I83,"")</f>
        <v/>
      </c>
      <c r="P83" s="9" t="str">
        <f aca="false">IF(K83&gt;0,J83/K83,"")</f>
        <v/>
      </c>
      <c r="Q83" s="8" t="str">
        <f aca="false">IF(B83="","",J83-J83*INDEX('Unit Economics'!$B$10:$D$10,1,B83)-I83*INDEX('Unit Economics'!$B$11:$D$11,1,B83)-L83)</f>
        <v/>
      </c>
      <c r="R83" s="8" t="str">
        <f aca="false">IF(B83="","",Q83-K83*(1+INDEX('Unit Economics'!$B$12:$D$12,1,B83)))</f>
        <v/>
      </c>
      <c r="S83" s="3" t="str">
        <f aca="false">IF(O83="","",IF(O83&lt;=INDEX('Unit Economics'!$B$19:$D$19,1,B83),"Scale",IF(O83&lt;=INDEX('Unit Economics'!$B$18:$D$18,1,B83),"Keep","Losing money")))</f>
        <v/>
      </c>
    </row>
    <row r="84" customFormat="false" ht="15" hidden="false" customHeight="true" outlineLevel="0" collapsed="false">
      <c r="J84" s="15"/>
      <c r="K84" s="15"/>
      <c r="L84" s="15"/>
      <c r="M84" s="14" t="str">
        <f aca="false">IF(E84&gt;0,F84/E84,"")</f>
        <v/>
      </c>
      <c r="N84" s="14" t="str">
        <f aca="false">IF(G84&gt;0,I84/G84,"")</f>
        <v/>
      </c>
      <c r="O84" s="8" t="str">
        <f aca="false">IF(AND(I84&gt;0,K84&gt;0),K84/I84,"")</f>
        <v/>
      </c>
      <c r="P84" s="9" t="str">
        <f aca="false">IF(K84&gt;0,J84/K84,"")</f>
        <v/>
      </c>
      <c r="Q84" s="8" t="str">
        <f aca="false">IF(B84="","",J84-J84*INDEX('Unit Economics'!$B$10:$D$10,1,B84)-I84*INDEX('Unit Economics'!$B$11:$D$11,1,B84)-L84)</f>
        <v/>
      </c>
      <c r="R84" s="8" t="str">
        <f aca="false">IF(B84="","",Q84-K84*(1+INDEX('Unit Economics'!$B$12:$D$12,1,B84)))</f>
        <v/>
      </c>
      <c r="S84" s="3" t="str">
        <f aca="false">IF(O84="","",IF(O84&lt;=INDEX('Unit Economics'!$B$19:$D$19,1,B84),"Scale",IF(O84&lt;=INDEX('Unit Economics'!$B$18:$D$18,1,B84),"Keep","Losing money")))</f>
        <v/>
      </c>
    </row>
    <row r="85" customFormat="false" ht="15" hidden="false" customHeight="true" outlineLevel="0" collapsed="false">
      <c r="J85" s="15"/>
      <c r="K85" s="15"/>
      <c r="L85" s="15"/>
      <c r="M85" s="14" t="str">
        <f aca="false">IF(E85&gt;0,F85/E85,"")</f>
        <v/>
      </c>
      <c r="N85" s="14" t="str">
        <f aca="false">IF(G85&gt;0,I85/G85,"")</f>
        <v/>
      </c>
      <c r="O85" s="8" t="str">
        <f aca="false">IF(AND(I85&gt;0,K85&gt;0),K85/I85,"")</f>
        <v/>
      </c>
      <c r="P85" s="9" t="str">
        <f aca="false">IF(K85&gt;0,J85/K85,"")</f>
        <v/>
      </c>
      <c r="Q85" s="8" t="str">
        <f aca="false">IF(B85="","",J85-J85*INDEX('Unit Economics'!$B$10:$D$10,1,B85)-I85*INDEX('Unit Economics'!$B$11:$D$11,1,B85)-L85)</f>
        <v/>
      </c>
      <c r="R85" s="8" t="str">
        <f aca="false">IF(B85="","",Q85-K85*(1+INDEX('Unit Economics'!$B$12:$D$12,1,B85)))</f>
        <v/>
      </c>
      <c r="S85" s="3" t="str">
        <f aca="false">IF(O85="","",IF(O85&lt;=INDEX('Unit Economics'!$B$19:$D$19,1,B85),"Scale",IF(O85&lt;=INDEX('Unit Economics'!$B$18:$D$18,1,B85),"Keep","Losing money")))</f>
        <v/>
      </c>
    </row>
    <row r="86" customFormat="false" ht="15" hidden="false" customHeight="true" outlineLevel="0" collapsed="false">
      <c r="J86" s="15"/>
      <c r="K86" s="15"/>
      <c r="L86" s="15"/>
      <c r="M86" s="14" t="str">
        <f aca="false">IF(E86&gt;0,F86/E86,"")</f>
        <v/>
      </c>
      <c r="N86" s="14" t="str">
        <f aca="false">IF(G86&gt;0,I86/G86,"")</f>
        <v/>
      </c>
      <c r="O86" s="8" t="str">
        <f aca="false">IF(AND(I86&gt;0,K86&gt;0),K86/I86,"")</f>
        <v/>
      </c>
      <c r="P86" s="9" t="str">
        <f aca="false">IF(K86&gt;0,J86/K86,"")</f>
        <v/>
      </c>
      <c r="Q86" s="8" t="str">
        <f aca="false">IF(B86="","",J86-J86*INDEX('Unit Economics'!$B$10:$D$10,1,B86)-I86*INDEX('Unit Economics'!$B$11:$D$11,1,B86)-L86)</f>
        <v/>
      </c>
      <c r="R86" s="8" t="str">
        <f aca="false">IF(B86="","",Q86-K86*(1+INDEX('Unit Economics'!$B$12:$D$12,1,B86)))</f>
        <v/>
      </c>
      <c r="S86" s="3" t="str">
        <f aca="false">IF(O86="","",IF(O86&lt;=INDEX('Unit Economics'!$B$19:$D$19,1,B86),"Scale",IF(O86&lt;=INDEX('Unit Economics'!$B$18:$D$18,1,B86),"Keep","Losing money")))</f>
        <v/>
      </c>
    </row>
    <row r="87" customFormat="false" ht="15" hidden="false" customHeight="true" outlineLevel="0" collapsed="false">
      <c r="J87" s="15"/>
      <c r="K87" s="15"/>
      <c r="L87" s="15"/>
      <c r="M87" s="14" t="str">
        <f aca="false">IF(E87&gt;0,F87/E87,"")</f>
        <v/>
      </c>
      <c r="N87" s="14" t="str">
        <f aca="false">IF(G87&gt;0,I87/G87,"")</f>
        <v/>
      </c>
      <c r="O87" s="8" t="str">
        <f aca="false">IF(AND(I87&gt;0,K87&gt;0),K87/I87,"")</f>
        <v/>
      </c>
      <c r="P87" s="9" t="str">
        <f aca="false">IF(K87&gt;0,J87/K87,"")</f>
        <v/>
      </c>
      <c r="Q87" s="8" t="str">
        <f aca="false">IF(B87="","",J87-J87*INDEX('Unit Economics'!$B$10:$D$10,1,B87)-I87*INDEX('Unit Economics'!$B$11:$D$11,1,B87)-L87)</f>
        <v/>
      </c>
      <c r="R87" s="8" t="str">
        <f aca="false">IF(B87="","",Q87-K87*(1+INDEX('Unit Economics'!$B$12:$D$12,1,B87)))</f>
        <v/>
      </c>
      <c r="S87" s="3" t="str">
        <f aca="false">IF(O87="","",IF(O87&lt;=INDEX('Unit Economics'!$B$19:$D$19,1,B87),"Scale",IF(O87&lt;=INDEX('Unit Economics'!$B$18:$D$18,1,B87),"Keep","Losing money")))</f>
        <v/>
      </c>
    </row>
    <row r="88" customFormat="false" ht="15" hidden="false" customHeight="true" outlineLevel="0" collapsed="false">
      <c r="J88" s="15"/>
      <c r="K88" s="15"/>
      <c r="L88" s="15"/>
      <c r="M88" s="14" t="str">
        <f aca="false">IF(E88&gt;0,F88/E88,"")</f>
        <v/>
      </c>
      <c r="N88" s="14" t="str">
        <f aca="false">IF(G88&gt;0,I88/G88,"")</f>
        <v/>
      </c>
      <c r="O88" s="8" t="str">
        <f aca="false">IF(AND(I88&gt;0,K88&gt;0),K88/I88,"")</f>
        <v/>
      </c>
      <c r="P88" s="9" t="str">
        <f aca="false">IF(K88&gt;0,J88/K88,"")</f>
        <v/>
      </c>
      <c r="Q88" s="8" t="str">
        <f aca="false">IF(B88="","",J88-J88*INDEX('Unit Economics'!$B$10:$D$10,1,B88)-I88*INDEX('Unit Economics'!$B$11:$D$11,1,B88)-L88)</f>
        <v/>
      </c>
      <c r="R88" s="8" t="str">
        <f aca="false">IF(B88="","",Q88-K88*(1+INDEX('Unit Economics'!$B$12:$D$12,1,B88)))</f>
        <v/>
      </c>
      <c r="S88" s="3" t="str">
        <f aca="false">IF(O88="","",IF(O88&lt;=INDEX('Unit Economics'!$B$19:$D$19,1,B88),"Scale",IF(O88&lt;=INDEX('Unit Economics'!$B$18:$D$18,1,B88),"Keep","Losing money")))</f>
        <v/>
      </c>
    </row>
    <row r="89" customFormat="false" ht="15" hidden="false" customHeight="true" outlineLevel="0" collapsed="false">
      <c r="J89" s="15"/>
      <c r="K89" s="15"/>
      <c r="L89" s="15"/>
      <c r="M89" s="14" t="str">
        <f aca="false">IF(E89&gt;0,F89/E89,"")</f>
        <v/>
      </c>
      <c r="N89" s="14" t="str">
        <f aca="false">IF(G89&gt;0,I89/G89,"")</f>
        <v/>
      </c>
      <c r="O89" s="8" t="str">
        <f aca="false">IF(AND(I89&gt;0,K89&gt;0),K89/I89,"")</f>
        <v/>
      </c>
      <c r="P89" s="9" t="str">
        <f aca="false">IF(K89&gt;0,J89/K89,"")</f>
        <v/>
      </c>
      <c r="Q89" s="8" t="str">
        <f aca="false">IF(B89="","",J89-J89*INDEX('Unit Economics'!$B$10:$D$10,1,B89)-I89*INDEX('Unit Economics'!$B$11:$D$11,1,B89)-L89)</f>
        <v/>
      </c>
      <c r="R89" s="8" t="str">
        <f aca="false">IF(B89="","",Q89-K89*(1+INDEX('Unit Economics'!$B$12:$D$12,1,B89)))</f>
        <v/>
      </c>
      <c r="S89" s="3" t="str">
        <f aca="false">IF(O89="","",IF(O89&lt;=INDEX('Unit Economics'!$B$19:$D$19,1,B89),"Scale",IF(O89&lt;=INDEX('Unit Economics'!$B$18:$D$18,1,B89),"Keep","Losing money")))</f>
        <v/>
      </c>
    </row>
    <row r="90" customFormat="false" ht="15" hidden="false" customHeight="true" outlineLevel="0" collapsed="false">
      <c r="J90" s="15"/>
      <c r="K90" s="15"/>
      <c r="L90" s="15"/>
      <c r="M90" s="14" t="str">
        <f aca="false">IF(E90&gt;0,F90/E90,"")</f>
        <v/>
      </c>
      <c r="N90" s="14" t="str">
        <f aca="false">IF(G90&gt;0,I90/G90,"")</f>
        <v/>
      </c>
      <c r="O90" s="8" t="str">
        <f aca="false">IF(AND(I90&gt;0,K90&gt;0),K90/I90,"")</f>
        <v/>
      </c>
      <c r="P90" s="9" t="str">
        <f aca="false">IF(K90&gt;0,J90/K90,"")</f>
        <v/>
      </c>
      <c r="Q90" s="8" t="str">
        <f aca="false">IF(B90="","",J90-J90*INDEX('Unit Economics'!$B$10:$D$10,1,B90)-I90*INDEX('Unit Economics'!$B$11:$D$11,1,B90)-L90)</f>
        <v/>
      </c>
      <c r="R90" s="8" t="str">
        <f aca="false">IF(B90="","",Q90-K90*(1+INDEX('Unit Economics'!$B$12:$D$12,1,B90)))</f>
        <v/>
      </c>
      <c r="S90" s="3" t="str">
        <f aca="false">IF(O90="","",IF(O90&lt;=INDEX('Unit Economics'!$B$19:$D$19,1,B90),"Scale",IF(O90&lt;=INDEX('Unit Economics'!$B$18:$D$18,1,B90),"Keep","Losing money")))</f>
        <v/>
      </c>
    </row>
    <row r="91" customFormat="false" ht="15" hidden="false" customHeight="true" outlineLevel="0" collapsed="false">
      <c r="J91" s="15"/>
      <c r="K91" s="15"/>
      <c r="L91" s="15"/>
      <c r="M91" s="14" t="str">
        <f aca="false">IF(E91&gt;0,F91/E91,"")</f>
        <v/>
      </c>
      <c r="N91" s="14" t="str">
        <f aca="false">IF(G91&gt;0,I91/G91,"")</f>
        <v/>
      </c>
      <c r="O91" s="8" t="str">
        <f aca="false">IF(AND(I91&gt;0,K91&gt;0),K91/I91,"")</f>
        <v/>
      </c>
      <c r="P91" s="9" t="str">
        <f aca="false">IF(K91&gt;0,J91/K91,"")</f>
        <v/>
      </c>
      <c r="Q91" s="8" t="str">
        <f aca="false">IF(B91="","",J91-J91*INDEX('Unit Economics'!$B$10:$D$10,1,B91)-I91*INDEX('Unit Economics'!$B$11:$D$11,1,B91)-L91)</f>
        <v/>
      </c>
      <c r="R91" s="8" t="str">
        <f aca="false">IF(B91="","",Q91-K91*(1+INDEX('Unit Economics'!$B$12:$D$12,1,B91)))</f>
        <v/>
      </c>
      <c r="S91" s="3" t="str">
        <f aca="false">IF(O91="","",IF(O91&lt;=INDEX('Unit Economics'!$B$19:$D$19,1,B91),"Scale",IF(O91&lt;=INDEX('Unit Economics'!$B$18:$D$18,1,B91),"Keep","Losing money")))</f>
        <v/>
      </c>
    </row>
    <row r="92" customFormat="false" ht="15" hidden="false" customHeight="true" outlineLevel="0" collapsed="false">
      <c r="J92" s="15"/>
      <c r="K92" s="15"/>
      <c r="L92" s="15"/>
      <c r="M92" s="14" t="str">
        <f aca="false">IF(E92&gt;0,F92/E92,"")</f>
        <v/>
      </c>
      <c r="N92" s="14" t="str">
        <f aca="false">IF(G92&gt;0,I92/G92,"")</f>
        <v/>
      </c>
      <c r="O92" s="8" t="str">
        <f aca="false">IF(AND(I92&gt;0,K92&gt;0),K92/I92,"")</f>
        <v/>
      </c>
      <c r="P92" s="9" t="str">
        <f aca="false">IF(K92&gt;0,J92/K92,"")</f>
        <v/>
      </c>
      <c r="Q92" s="8" t="str">
        <f aca="false">IF(B92="","",J92-J92*INDEX('Unit Economics'!$B$10:$D$10,1,B92)-I92*INDEX('Unit Economics'!$B$11:$D$11,1,B92)-L92)</f>
        <v/>
      </c>
      <c r="R92" s="8" t="str">
        <f aca="false">IF(B92="","",Q92-K92*(1+INDEX('Unit Economics'!$B$12:$D$12,1,B92)))</f>
        <v/>
      </c>
      <c r="S92" s="3" t="str">
        <f aca="false">IF(O92="","",IF(O92&lt;=INDEX('Unit Economics'!$B$19:$D$19,1,B92),"Scale",IF(O92&lt;=INDEX('Unit Economics'!$B$18:$D$18,1,B92),"Keep","Losing money")))</f>
        <v/>
      </c>
    </row>
    <row r="93" customFormat="false" ht="15" hidden="false" customHeight="true" outlineLevel="0" collapsed="false">
      <c r="J93" s="15"/>
      <c r="K93" s="15"/>
      <c r="L93" s="15"/>
      <c r="M93" s="14" t="str">
        <f aca="false">IF(E93&gt;0,F93/E93,"")</f>
        <v/>
      </c>
      <c r="N93" s="14" t="str">
        <f aca="false">IF(G93&gt;0,I93/G93,"")</f>
        <v/>
      </c>
      <c r="O93" s="8" t="str">
        <f aca="false">IF(AND(I93&gt;0,K93&gt;0),K93/I93,"")</f>
        <v/>
      </c>
      <c r="P93" s="9" t="str">
        <f aca="false">IF(K93&gt;0,J93/K93,"")</f>
        <v/>
      </c>
      <c r="Q93" s="8" t="str">
        <f aca="false">IF(B93="","",J93-J93*INDEX('Unit Economics'!$B$10:$D$10,1,B93)-I93*INDEX('Unit Economics'!$B$11:$D$11,1,B93)-L93)</f>
        <v/>
      </c>
      <c r="R93" s="8" t="str">
        <f aca="false">IF(B93="","",Q93-K93*(1+INDEX('Unit Economics'!$B$12:$D$12,1,B93)))</f>
        <v/>
      </c>
      <c r="S93" s="3" t="str">
        <f aca="false">IF(O93="","",IF(O93&lt;=INDEX('Unit Economics'!$B$19:$D$19,1,B93),"Scale",IF(O93&lt;=INDEX('Unit Economics'!$B$18:$D$18,1,B93),"Keep","Losing money")))</f>
        <v/>
      </c>
    </row>
    <row r="94" customFormat="false" ht="15" hidden="false" customHeight="true" outlineLevel="0" collapsed="false">
      <c r="J94" s="15"/>
      <c r="K94" s="15"/>
      <c r="L94" s="15"/>
      <c r="M94" s="14" t="str">
        <f aca="false">IF(E94&gt;0,F94/E94,"")</f>
        <v/>
      </c>
      <c r="N94" s="14" t="str">
        <f aca="false">IF(G94&gt;0,I94/G94,"")</f>
        <v/>
      </c>
      <c r="O94" s="8" t="str">
        <f aca="false">IF(AND(I94&gt;0,K94&gt;0),K94/I94,"")</f>
        <v/>
      </c>
      <c r="P94" s="9" t="str">
        <f aca="false">IF(K94&gt;0,J94/K94,"")</f>
        <v/>
      </c>
      <c r="Q94" s="8" t="str">
        <f aca="false">IF(B94="","",J94-J94*INDEX('Unit Economics'!$B$10:$D$10,1,B94)-I94*INDEX('Unit Economics'!$B$11:$D$11,1,B94)-L94)</f>
        <v/>
      </c>
      <c r="R94" s="8" t="str">
        <f aca="false">IF(B94="","",Q94-K94*(1+INDEX('Unit Economics'!$B$12:$D$12,1,B94)))</f>
        <v/>
      </c>
      <c r="S94" s="3" t="str">
        <f aca="false">IF(O94="","",IF(O94&lt;=INDEX('Unit Economics'!$B$19:$D$19,1,B94),"Scale",IF(O94&lt;=INDEX('Unit Economics'!$B$18:$D$18,1,B94),"Keep","Losing money")))</f>
        <v/>
      </c>
    </row>
    <row r="95" customFormat="false" ht="15" hidden="false" customHeight="true" outlineLevel="0" collapsed="false">
      <c r="J95" s="15"/>
      <c r="K95" s="15"/>
      <c r="L95" s="15"/>
      <c r="M95" s="14" t="str">
        <f aca="false">IF(E95&gt;0,F95/E95,"")</f>
        <v/>
      </c>
      <c r="N95" s="14" t="str">
        <f aca="false">IF(G95&gt;0,I95/G95,"")</f>
        <v/>
      </c>
      <c r="O95" s="8" t="str">
        <f aca="false">IF(AND(I95&gt;0,K95&gt;0),K95/I95,"")</f>
        <v/>
      </c>
      <c r="P95" s="9" t="str">
        <f aca="false">IF(K95&gt;0,J95/K95,"")</f>
        <v/>
      </c>
      <c r="Q95" s="8" t="str">
        <f aca="false">IF(B95="","",J95-J95*INDEX('Unit Economics'!$B$10:$D$10,1,B95)-I95*INDEX('Unit Economics'!$B$11:$D$11,1,B95)-L95)</f>
        <v/>
      </c>
      <c r="R95" s="8" t="str">
        <f aca="false">IF(B95="","",Q95-K95*(1+INDEX('Unit Economics'!$B$12:$D$12,1,B95)))</f>
        <v/>
      </c>
      <c r="S95" s="3" t="str">
        <f aca="false">IF(O95="","",IF(O95&lt;=INDEX('Unit Economics'!$B$19:$D$19,1,B95),"Scale",IF(O95&lt;=INDEX('Unit Economics'!$B$18:$D$18,1,B95),"Keep","Losing money")))</f>
        <v/>
      </c>
    </row>
    <row r="96" customFormat="false" ht="15" hidden="false" customHeight="true" outlineLevel="0" collapsed="false">
      <c r="J96" s="15"/>
      <c r="K96" s="15"/>
      <c r="L96" s="15"/>
      <c r="M96" s="14" t="str">
        <f aca="false">IF(E96&gt;0,F96/E96,"")</f>
        <v/>
      </c>
      <c r="N96" s="14" t="str">
        <f aca="false">IF(G96&gt;0,I96/G96,"")</f>
        <v/>
      </c>
      <c r="O96" s="8" t="str">
        <f aca="false">IF(AND(I96&gt;0,K96&gt;0),K96/I96,"")</f>
        <v/>
      </c>
      <c r="P96" s="9" t="str">
        <f aca="false">IF(K96&gt;0,J96/K96,"")</f>
        <v/>
      </c>
      <c r="Q96" s="8" t="str">
        <f aca="false">IF(B96="","",J96-J96*INDEX('Unit Economics'!$B$10:$D$10,1,B96)-I96*INDEX('Unit Economics'!$B$11:$D$11,1,B96)-L96)</f>
        <v/>
      </c>
      <c r="R96" s="8" t="str">
        <f aca="false">IF(B96="","",Q96-K96*(1+INDEX('Unit Economics'!$B$12:$D$12,1,B96)))</f>
        <v/>
      </c>
      <c r="S96" s="3" t="str">
        <f aca="false">IF(O96="","",IF(O96&lt;=INDEX('Unit Economics'!$B$19:$D$19,1,B96),"Scale",IF(O96&lt;=INDEX('Unit Economics'!$B$18:$D$18,1,B96),"Keep","Losing money")))</f>
        <v/>
      </c>
    </row>
    <row r="97" customFormat="false" ht="15" hidden="false" customHeight="true" outlineLevel="0" collapsed="false">
      <c r="J97" s="15"/>
      <c r="K97" s="15"/>
      <c r="L97" s="15"/>
      <c r="M97" s="14" t="str">
        <f aca="false">IF(E97&gt;0,F97/E97,"")</f>
        <v/>
      </c>
      <c r="N97" s="14" t="str">
        <f aca="false">IF(G97&gt;0,I97/G97,"")</f>
        <v/>
      </c>
      <c r="O97" s="8" t="str">
        <f aca="false">IF(AND(I97&gt;0,K97&gt;0),K97/I97,"")</f>
        <v/>
      </c>
      <c r="P97" s="9" t="str">
        <f aca="false">IF(K97&gt;0,J97/K97,"")</f>
        <v/>
      </c>
      <c r="Q97" s="8" t="str">
        <f aca="false">IF(B97="","",J97-J97*INDEX('Unit Economics'!$B$10:$D$10,1,B97)-I97*INDEX('Unit Economics'!$B$11:$D$11,1,B97)-L97)</f>
        <v/>
      </c>
      <c r="R97" s="8" t="str">
        <f aca="false">IF(B97="","",Q97-K97*(1+INDEX('Unit Economics'!$B$12:$D$12,1,B97)))</f>
        <v/>
      </c>
      <c r="S97" s="3" t="str">
        <f aca="false">IF(O97="","",IF(O97&lt;=INDEX('Unit Economics'!$B$19:$D$19,1,B97),"Scale",IF(O97&lt;=INDEX('Unit Economics'!$B$18:$D$18,1,B97),"Keep","Losing money")))</f>
        <v/>
      </c>
    </row>
    <row r="98" customFormat="false" ht="15" hidden="false" customHeight="true" outlineLevel="0" collapsed="false">
      <c r="J98" s="15"/>
      <c r="K98" s="15"/>
      <c r="L98" s="15"/>
      <c r="M98" s="14" t="str">
        <f aca="false">IF(E98&gt;0,F98/E98,"")</f>
        <v/>
      </c>
      <c r="N98" s="14" t="str">
        <f aca="false">IF(G98&gt;0,I98/G98,"")</f>
        <v/>
      </c>
      <c r="O98" s="8" t="str">
        <f aca="false">IF(AND(I98&gt;0,K98&gt;0),K98/I98,"")</f>
        <v/>
      </c>
      <c r="P98" s="9" t="str">
        <f aca="false">IF(K98&gt;0,J98/K98,"")</f>
        <v/>
      </c>
      <c r="Q98" s="8" t="str">
        <f aca="false">IF(B98="","",J98-J98*INDEX('Unit Economics'!$B$10:$D$10,1,B98)-I98*INDEX('Unit Economics'!$B$11:$D$11,1,B98)-L98)</f>
        <v/>
      </c>
      <c r="R98" s="8" t="str">
        <f aca="false">IF(B98="","",Q98-K98*(1+INDEX('Unit Economics'!$B$12:$D$12,1,B98)))</f>
        <v/>
      </c>
      <c r="S98" s="3" t="str">
        <f aca="false">IF(O98="","",IF(O98&lt;=INDEX('Unit Economics'!$B$19:$D$19,1,B98),"Scale",IF(O98&lt;=INDEX('Unit Economics'!$B$18:$D$18,1,B98),"Keep","Losing money")))</f>
        <v/>
      </c>
    </row>
    <row r="99" customFormat="false" ht="15" hidden="false" customHeight="true" outlineLevel="0" collapsed="false">
      <c r="J99" s="15"/>
      <c r="K99" s="15"/>
      <c r="L99" s="15"/>
      <c r="M99" s="14" t="str">
        <f aca="false">IF(E99&gt;0,F99/E99,"")</f>
        <v/>
      </c>
      <c r="N99" s="14" t="str">
        <f aca="false">IF(G99&gt;0,I99/G99,"")</f>
        <v/>
      </c>
      <c r="O99" s="8" t="str">
        <f aca="false">IF(AND(I99&gt;0,K99&gt;0),K99/I99,"")</f>
        <v/>
      </c>
      <c r="P99" s="9" t="str">
        <f aca="false">IF(K99&gt;0,J99/K99,"")</f>
        <v/>
      </c>
      <c r="Q99" s="8" t="str">
        <f aca="false">IF(B99="","",J99-J99*INDEX('Unit Economics'!$B$10:$D$10,1,B99)-I99*INDEX('Unit Economics'!$B$11:$D$11,1,B99)-L99)</f>
        <v/>
      </c>
      <c r="R99" s="8" t="str">
        <f aca="false">IF(B99="","",Q99-K99*(1+INDEX('Unit Economics'!$B$12:$D$12,1,B99)))</f>
        <v/>
      </c>
      <c r="S99" s="3" t="str">
        <f aca="false">IF(O99="","",IF(O99&lt;=INDEX('Unit Economics'!$B$19:$D$19,1,B99),"Scale",IF(O99&lt;=INDEX('Unit Economics'!$B$18:$D$18,1,B99),"Keep","Losing money")))</f>
        <v/>
      </c>
    </row>
    <row r="100" customFormat="false" ht="15" hidden="false" customHeight="true" outlineLevel="0" collapsed="false">
      <c r="J100" s="15"/>
      <c r="K100" s="15"/>
      <c r="L100" s="15"/>
      <c r="M100" s="14" t="str">
        <f aca="false">IF(E100&gt;0,F100/E100,"")</f>
        <v/>
      </c>
      <c r="N100" s="14" t="str">
        <f aca="false">IF(G100&gt;0,I100/G100,"")</f>
        <v/>
      </c>
      <c r="O100" s="8" t="str">
        <f aca="false">IF(AND(I100&gt;0,K100&gt;0),K100/I100,"")</f>
        <v/>
      </c>
      <c r="P100" s="9" t="str">
        <f aca="false">IF(K100&gt;0,J100/K100,"")</f>
        <v/>
      </c>
      <c r="Q100" s="8" t="str">
        <f aca="false">IF(B100="","",J100-J100*INDEX('Unit Economics'!$B$10:$D$10,1,B100)-I100*INDEX('Unit Economics'!$B$11:$D$11,1,B100)-L100)</f>
        <v/>
      </c>
      <c r="R100" s="8" t="str">
        <f aca="false">IF(B100="","",Q100-K100*(1+INDEX('Unit Economics'!$B$12:$D$12,1,B100)))</f>
        <v/>
      </c>
      <c r="S100" s="3" t="str">
        <f aca="false">IF(O100="","",IF(O100&lt;=INDEX('Unit Economics'!$B$19:$D$19,1,B100),"Scale",IF(O100&lt;=INDEX('Unit Economics'!$B$18:$D$18,1,B100),"Keep","Losing money")))</f>
        <v/>
      </c>
    </row>
    <row r="101" customFormat="false" ht="15" hidden="false" customHeight="true" outlineLevel="0" collapsed="false">
      <c r="J101" s="15"/>
      <c r="K101" s="15"/>
      <c r="L101" s="15"/>
      <c r="M101" s="14" t="str">
        <f aca="false">IF(E101&gt;0,F101/E101,"")</f>
        <v/>
      </c>
      <c r="N101" s="14" t="str">
        <f aca="false">IF(G101&gt;0,I101/G101,"")</f>
        <v/>
      </c>
      <c r="O101" s="8" t="str">
        <f aca="false">IF(AND(I101&gt;0,K101&gt;0),K101/I101,"")</f>
        <v/>
      </c>
      <c r="P101" s="9" t="str">
        <f aca="false">IF(K101&gt;0,J101/K101,"")</f>
        <v/>
      </c>
      <c r="Q101" s="8" t="str">
        <f aca="false">IF(B101="","",J101-J101*INDEX('Unit Economics'!$B$10:$D$10,1,B101)-I101*INDEX('Unit Economics'!$B$11:$D$11,1,B101)-L101)</f>
        <v/>
      </c>
      <c r="R101" s="8" t="str">
        <f aca="false">IF(B101="","",Q101-K101*(1+INDEX('Unit Economics'!$B$12:$D$12,1,B101)))</f>
        <v/>
      </c>
      <c r="S101" s="3" t="str">
        <f aca="false">IF(O101="","",IF(O101&lt;=INDEX('Unit Economics'!$B$19:$D$19,1,B101),"Scale",IF(O101&lt;=INDEX('Unit Economics'!$B$18:$D$18,1,B101),"Keep","Losing money")))</f>
        <v/>
      </c>
    </row>
    <row r="102" customFormat="false" ht="15" hidden="false" customHeight="true" outlineLevel="0" collapsed="false">
      <c r="J102" s="15"/>
      <c r="K102" s="15"/>
      <c r="L102" s="15"/>
      <c r="M102" s="14" t="str">
        <f aca="false">IF(E102&gt;0,F102/E102,"")</f>
        <v/>
      </c>
      <c r="N102" s="14" t="str">
        <f aca="false">IF(G102&gt;0,I102/G102,"")</f>
        <v/>
      </c>
      <c r="O102" s="8" t="str">
        <f aca="false">IF(AND(I102&gt;0,K102&gt;0),K102/I102,"")</f>
        <v/>
      </c>
      <c r="P102" s="9" t="str">
        <f aca="false">IF(K102&gt;0,J102/K102,"")</f>
        <v/>
      </c>
      <c r="Q102" s="8" t="str">
        <f aca="false">IF(B102="","",J102-J102*INDEX('Unit Economics'!$B$10:$D$10,1,B102)-I102*INDEX('Unit Economics'!$B$11:$D$11,1,B102)-L102)</f>
        <v/>
      </c>
      <c r="R102" s="8" t="str">
        <f aca="false">IF(B102="","",Q102-K102*(1+INDEX('Unit Economics'!$B$12:$D$12,1,B102)))</f>
        <v/>
      </c>
      <c r="S102" s="3" t="str">
        <f aca="false">IF(O102="","",IF(O102&lt;=INDEX('Unit Economics'!$B$19:$D$19,1,B102),"Scale",IF(O102&lt;=INDEX('Unit Economics'!$B$18:$D$18,1,B102),"Keep","Losing money")))</f>
        <v/>
      </c>
    </row>
    <row r="103" customFormat="false" ht="15" hidden="false" customHeight="true" outlineLevel="0" collapsed="false">
      <c r="J103" s="15"/>
      <c r="K103" s="15"/>
      <c r="L103" s="15"/>
      <c r="M103" s="14" t="str">
        <f aca="false">IF(E103&gt;0,F103/E103,"")</f>
        <v/>
      </c>
      <c r="N103" s="14" t="str">
        <f aca="false">IF(G103&gt;0,I103/G103,"")</f>
        <v/>
      </c>
      <c r="O103" s="8" t="str">
        <f aca="false">IF(AND(I103&gt;0,K103&gt;0),K103/I103,"")</f>
        <v/>
      </c>
      <c r="P103" s="9" t="str">
        <f aca="false">IF(K103&gt;0,J103/K103,"")</f>
        <v/>
      </c>
      <c r="Q103" s="8" t="str">
        <f aca="false">IF(B103="","",J103-J103*INDEX('Unit Economics'!$B$10:$D$10,1,B103)-I103*INDEX('Unit Economics'!$B$11:$D$11,1,B103)-L103)</f>
        <v/>
      </c>
      <c r="R103" s="8" t="str">
        <f aca="false">IF(B103="","",Q103-K103*(1+INDEX('Unit Economics'!$B$12:$D$12,1,B103)))</f>
        <v/>
      </c>
      <c r="S103" s="3" t="str">
        <f aca="false">IF(O103="","",IF(O103&lt;=INDEX('Unit Economics'!$B$19:$D$19,1,B103),"Scale",IF(O103&lt;=INDEX('Unit Economics'!$B$18:$D$18,1,B103),"Keep","Losing money")))</f>
        <v/>
      </c>
    </row>
    <row r="104" customFormat="false" ht="15" hidden="false" customHeight="true" outlineLevel="0" collapsed="false">
      <c r="J104" s="15"/>
      <c r="K104" s="15"/>
      <c r="L104" s="15"/>
      <c r="M104" s="14" t="str">
        <f aca="false">IF(E104&gt;0,F104/E104,"")</f>
        <v/>
      </c>
      <c r="N104" s="14" t="str">
        <f aca="false">IF(G104&gt;0,I104/G104,"")</f>
        <v/>
      </c>
      <c r="O104" s="8" t="str">
        <f aca="false">IF(AND(I104&gt;0,K104&gt;0),K104/I104,"")</f>
        <v/>
      </c>
      <c r="P104" s="9" t="str">
        <f aca="false">IF(K104&gt;0,J104/K104,"")</f>
        <v/>
      </c>
      <c r="Q104" s="8" t="str">
        <f aca="false">IF(B104="","",J104-J104*INDEX('Unit Economics'!$B$10:$D$10,1,B104)-I104*INDEX('Unit Economics'!$B$11:$D$11,1,B104)-L104)</f>
        <v/>
      </c>
      <c r="R104" s="8" t="str">
        <f aca="false">IF(B104="","",Q104-K104*(1+INDEX('Unit Economics'!$B$12:$D$12,1,B104)))</f>
        <v/>
      </c>
      <c r="S104" s="3" t="str">
        <f aca="false">IF(O104="","",IF(O104&lt;=INDEX('Unit Economics'!$B$19:$D$19,1,B104),"Scale",IF(O104&lt;=INDEX('Unit Economics'!$B$18:$D$18,1,B104),"Keep","Losing money")))</f>
        <v/>
      </c>
    </row>
    <row r="105" customFormat="false" ht="15" hidden="false" customHeight="true" outlineLevel="0" collapsed="false">
      <c r="J105" s="15"/>
      <c r="K105" s="15"/>
      <c r="L105" s="15"/>
      <c r="M105" s="14" t="str">
        <f aca="false">IF(E105&gt;0,F105/E105,"")</f>
        <v/>
      </c>
      <c r="N105" s="14" t="str">
        <f aca="false">IF(G105&gt;0,I105/G105,"")</f>
        <v/>
      </c>
      <c r="O105" s="8" t="str">
        <f aca="false">IF(AND(I105&gt;0,K105&gt;0),K105/I105,"")</f>
        <v/>
      </c>
      <c r="P105" s="9" t="str">
        <f aca="false">IF(K105&gt;0,J105/K105,"")</f>
        <v/>
      </c>
      <c r="Q105" s="8" t="str">
        <f aca="false">IF(B105="","",J105-J105*INDEX('Unit Economics'!$B$10:$D$10,1,B105)-I105*INDEX('Unit Economics'!$B$11:$D$11,1,B105)-L105)</f>
        <v/>
      </c>
      <c r="R105" s="8" t="str">
        <f aca="false">IF(B105="","",Q105-K105*(1+INDEX('Unit Economics'!$B$12:$D$12,1,B105)))</f>
        <v/>
      </c>
      <c r="S105" s="3" t="str">
        <f aca="false">IF(O105="","",IF(O105&lt;=INDEX('Unit Economics'!$B$19:$D$19,1,B105),"Scale",IF(O105&lt;=INDEX('Unit Economics'!$B$18:$D$18,1,B105),"Keep","Losing money")))</f>
        <v/>
      </c>
    </row>
    <row r="106" customFormat="false" ht="15" hidden="false" customHeight="true" outlineLevel="0" collapsed="false">
      <c r="J106" s="15"/>
      <c r="K106" s="15"/>
      <c r="L106" s="15"/>
      <c r="M106" s="14" t="str">
        <f aca="false">IF(E106&gt;0,F106/E106,"")</f>
        <v/>
      </c>
      <c r="N106" s="14" t="str">
        <f aca="false">IF(G106&gt;0,I106/G106,"")</f>
        <v/>
      </c>
      <c r="O106" s="8" t="str">
        <f aca="false">IF(AND(I106&gt;0,K106&gt;0),K106/I106,"")</f>
        <v/>
      </c>
      <c r="P106" s="9" t="str">
        <f aca="false">IF(K106&gt;0,J106/K106,"")</f>
        <v/>
      </c>
      <c r="Q106" s="8" t="str">
        <f aca="false">IF(B106="","",J106-J106*INDEX('Unit Economics'!$B$10:$D$10,1,B106)-I106*INDEX('Unit Economics'!$B$11:$D$11,1,B106)-L106)</f>
        <v/>
      </c>
      <c r="R106" s="8" t="str">
        <f aca="false">IF(B106="","",Q106-K106*(1+INDEX('Unit Economics'!$B$12:$D$12,1,B106)))</f>
        <v/>
      </c>
      <c r="S106" s="3" t="str">
        <f aca="false">IF(O106="","",IF(O106&lt;=INDEX('Unit Economics'!$B$19:$D$19,1,B106),"Scale",IF(O106&lt;=INDEX('Unit Economics'!$B$18:$D$18,1,B106),"Keep","Losing money")))</f>
        <v/>
      </c>
    </row>
    <row r="107" customFormat="false" ht="15" hidden="false" customHeight="true" outlineLevel="0" collapsed="false">
      <c r="J107" s="15"/>
      <c r="K107" s="15"/>
      <c r="L107" s="15"/>
      <c r="M107" s="14" t="str">
        <f aca="false">IF(E107&gt;0,F107/E107,"")</f>
        <v/>
      </c>
      <c r="N107" s="14" t="str">
        <f aca="false">IF(G107&gt;0,I107/G107,"")</f>
        <v/>
      </c>
      <c r="O107" s="8" t="str">
        <f aca="false">IF(AND(I107&gt;0,K107&gt;0),K107/I107,"")</f>
        <v/>
      </c>
      <c r="P107" s="9" t="str">
        <f aca="false">IF(K107&gt;0,J107/K107,"")</f>
        <v/>
      </c>
      <c r="Q107" s="8" t="str">
        <f aca="false">IF(B107="","",J107-J107*INDEX('Unit Economics'!$B$10:$D$10,1,B107)-I107*INDEX('Unit Economics'!$B$11:$D$11,1,B107)-L107)</f>
        <v/>
      </c>
      <c r="R107" s="8" t="str">
        <f aca="false">IF(B107="","",Q107-K107*(1+INDEX('Unit Economics'!$B$12:$D$12,1,B107)))</f>
        <v/>
      </c>
      <c r="S107" s="3" t="str">
        <f aca="false">IF(O107="","",IF(O107&lt;=INDEX('Unit Economics'!$B$19:$D$19,1,B107),"Scale",IF(O107&lt;=INDEX('Unit Economics'!$B$18:$D$18,1,B107),"Keep","Losing money")))</f>
        <v/>
      </c>
    </row>
    <row r="108" customFormat="false" ht="15" hidden="false" customHeight="true" outlineLevel="0" collapsed="false">
      <c r="J108" s="15"/>
      <c r="K108" s="15"/>
      <c r="L108" s="15"/>
      <c r="M108" s="14" t="str">
        <f aca="false">IF(E108&gt;0,F108/E108,"")</f>
        <v/>
      </c>
      <c r="N108" s="14" t="str">
        <f aca="false">IF(G108&gt;0,I108/G108,"")</f>
        <v/>
      </c>
      <c r="O108" s="8" t="str">
        <f aca="false">IF(AND(I108&gt;0,K108&gt;0),K108/I108,"")</f>
        <v/>
      </c>
      <c r="P108" s="9" t="str">
        <f aca="false">IF(K108&gt;0,J108/K108,"")</f>
        <v/>
      </c>
      <c r="Q108" s="8" t="str">
        <f aca="false">IF(B108="","",J108-J108*INDEX('Unit Economics'!$B$10:$D$10,1,B108)-I108*INDEX('Unit Economics'!$B$11:$D$11,1,B108)-L108)</f>
        <v/>
      </c>
      <c r="R108" s="8" t="str">
        <f aca="false">IF(B108="","",Q108-K108*(1+INDEX('Unit Economics'!$B$12:$D$12,1,B108)))</f>
        <v/>
      </c>
      <c r="S108" s="3" t="str">
        <f aca="false">IF(O108="","",IF(O108&lt;=INDEX('Unit Economics'!$B$19:$D$19,1,B108),"Scale",IF(O108&lt;=INDEX('Unit Economics'!$B$18:$D$18,1,B108),"Keep","Losing money")))</f>
        <v/>
      </c>
    </row>
    <row r="109" customFormat="false" ht="15" hidden="false" customHeight="true" outlineLevel="0" collapsed="false">
      <c r="J109" s="15"/>
      <c r="K109" s="15"/>
      <c r="L109" s="15"/>
      <c r="M109" s="14" t="str">
        <f aca="false">IF(E109&gt;0,F109/E109,"")</f>
        <v/>
      </c>
      <c r="N109" s="14" t="str">
        <f aca="false">IF(G109&gt;0,I109/G109,"")</f>
        <v/>
      </c>
      <c r="O109" s="8" t="str">
        <f aca="false">IF(AND(I109&gt;0,K109&gt;0),K109/I109,"")</f>
        <v/>
      </c>
      <c r="P109" s="9" t="str">
        <f aca="false">IF(K109&gt;0,J109/K109,"")</f>
        <v/>
      </c>
      <c r="Q109" s="8" t="str">
        <f aca="false">IF(B109="","",J109-J109*INDEX('Unit Economics'!$B$10:$D$10,1,B109)-I109*INDEX('Unit Economics'!$B$11:$D$11,1,B109)-L109)</f>
        <v/>
      </c>
      <c r="R109" s="8" t="str">
        <f aca="false">IF(B109="","",Q109-K109*(1+INDEX('Unit Economics'!$B$12:$D$12,1,B109)))</f>
        <v/>
      </c>
      <c r="S109" s="3" t="str">
        <f aca="false">IF(O109="","",IF(O109&lt;=INDEX('Unit Economics'!$B$19:$D$19,1,B109),"Scale",IF(O109&lt;=INDEX('Unit Economics'!$B$18:$D$18,1,B109),"Keep","Losing money")))</f>
        <v/>
      </c>
    </row>
    <row r="110" customFormat="false" ht="15" hidden="false" customHeight="true" outlineLevel="0" collapsed="false">
      <c r="J110" s="15"/>
      <c r="K110" s="15"/>
      <c r="L110" s="15"/>
      <c r="M110" s="14" t="str">
        <f aca="false">IF(E110&gt;0,F110/E110,"")</f>
        <v/>
      </c>
      <c r="N110" s="14" t="str">
        <f aca="false">IF(G110&gt;0,I110/G110,"")</f>
        <v/>
      </c>
      <c r="O110" s="8" t="str">
        <f aca="false">IF(AND(I110&gt;0,K110&gt;0),K110/I110,"")</f>
        <v/>
      </c>
      <c r="P110" s="9" t="str">
        <f aca="false">IF(K110&gt;0,J110/K110,"")</f>
        <v/>
      </c>
      <c r="Q110" s="8" t="str">
        <f aca="false">IF(B110="","",J110-J110*INDEX('Unit Economics'!$B$10:$D$10,1,B110)-I110*INDEX('Unit Economics'!$B$11:$D$11,1,B110)-L110)</f>
        <v/>
      </c>
      <c r="R110" s="8" t="str">
        <f aca="false">IF(B110="","",Q110-K110*(1+INDEX('Unit Economics'!$B$12:$D$12,1,B110)))</f>
        <v/>
      </c>
      <c r="S110" s="3" t="str">
        <f aca="false">IF(O110="","",IF(O110&lt;=INDEX('Unit Economics'!$B$19:$D$19,1,B110),"Scale",IF(O110&lt;=INDEX('Unit Economics'!$B$18:$D$18,1,B110),"Keep","Losing money")))</f>
        <v/>
      </c>
    </row>
    <row r="111" customFormat="false" ht="15" hidden="false" customHeight="true" outlineLevel="0" collapsed="false">
      <c r="J111" s="15"/>
      <c r="K111" s="15"/>
      <c r="L111" s="15"/>
      <c r="M111" s="14" t="str">
        <f aca="false">IF(E111&gt;0,F111/E111,"")</f>
        <v/>
      </c>
      <c r="N111" s="14" t="str">
        <f aca="false">IF(G111&gt;0,I111/G111,"")</f>
        <v/>
      </c>
      <c r="O111" s="8" t="str">
        <f aca="false">IF(AND(I111&gt;0,K111&gt;0),K111/I111,"")</f>
        <v/>
      </c>
      <c r="P111" s="9" t="str">
        <f aca="false">IF(K111&gt;0,J111/K111,"")</f>
        <v/>
      </c>
      <c r="Q111" s="8" t="str">
        <f aca="false">IF(B111="","",J111-J111*INDEX('Unit Economics'!$B$10:$D$10,1,B111)-I111*INDEX('Unit Economics'!$B$11:$D$11,1,B111)-L111)</f>
        <v/>
      </c>
      <c r="R111" s="8" t="str">
        <f aca="false">IF(B111="","",Q111-K111*(1+INDEX('Unit Economics'!$B$12:$D$12,1,B111)))</f>
        <v/>
      </c>
      <c r="S111" s="3" t="str">
        <f aca="false">IF(O111="","",IF(O111&lt;=INDEX('Unit Economics'!$B$19:$D$19,1,B111),"Scale",IF(O111&lt;=INDEX('Unit Economics'!$B$18:$D$18,1,B111),"Keep","Losing money")))</f>
        <v/>
      </c>
    </row>
    <row r="112" customFormat="false" ht="15" hidden="false" customHeight="true" outlineLevel="0" collapsed="false">
      <c r="J112" s="15"/>
      <c r="K112" s="15"/>
      <c r="L112" s="15"/>
      <c r="M112" s="14" t="str">
        <f aca="false">IF(E112&gt;0,F112/E112,"")</f>
        <v/>
      </c>
      <c r="N112" s="14" t="str">
        <f aca="false">IF(G112&gt;0,I112/G112,"")</f>
        <v/>
      </c>
      <c r="O112" s="8" t="str">
        <f aca="false">IF(AND(I112&gt;0,K112&gt;0),K112/I112,"")</f>
        <v/>
      </c>
      <c r="P112" s="9" t="str">
        <f aca="false">IF(K112&gt;0,J112/K112,"")</f>
        <v/>
      </c>
      <c r="Q112" s="8" t="str">
        <f aca="false">IF(B112="","",J112-J112*INDEX('Unit Economics'!$B$10:$D$10,1,B112)-I112*INDEX('Unit Economics'!$B$11:$D$11,1,B112)-L112)</f>
        <v/>
      </c>
      <c r="R112" s="8" t="str">
        <f aca="false">IF(B112="","",Q112-K112*(1+INDEX('Unit Economics'!$B$12:$D$12,1,B112)))</f>
        <v/>
      </c>
      <c r="S112" s="3" t="str">
        <f aca="false">IF(O112="","",IF(O112&lt;=INDEX('Unit Economics'!$B$19:$D$19,1,B112),"Scale",IF(O112&lt;=INDEX('Unit Economics'!$B$18:$D$18,1,B112),"Keep","Losing money")))</f>
        <v/>
      </c>
    </row>
    <row r="113" customFormat="false" ht="15" hidden="false" customHeight="true" outlineLevel="0" collapsed="false">
      <c r="J113" s="15"/>
      <c r="K113" s="15"/>
      <c r="L113" s="15"/>
      <c r="M113" s="14" t="str">
        <f aca="false">IF(E113&gt;0,F113/E113,"")</f>
        <v/>
      </c>
      <c r="N113" s="14" t="str">
        <f aca="false">IF(G113&gt;0,I113/G113,"")</f>
        <v/>
      </c>
      <c r="O113" s="8" t="str">
        <f aca="false">IF(AND(I113&gt;0,K113&gt;0),K113/I113,"")</f>
        <v/>
      </c>
      <c r="P113" s="9" t="str">
        <f aca="false">IF(K113&gt;0,J113/K113,"")</f>
        <v/>
      </c>
      <c r="Q113" s="8" t="str">
        <f aca="false">IF(B113="","",J113-J113*INDEX('Unit Economics'!$B$10:$D$10,1,B113)-I113*INDEX('Unit Economics'!$B$11:$D$11,1,B113)-L113)</f>
        <v/>
      </c>
      <c r="R113" s="8" t="str">
        <f aca="false">IF(B113="","",Q113-K113*(1+INDEX('Unit Economics'!$B$12:$D$12,1,B113)))</f>
        <v/>
      </c>
      <c r="S113" s="3" t="str">
        <f aca="false">IF(O113="","",IF(O113&lt;=INDEX('Unit Economics'!$B$19:$D$19,1,B113),"Scale",IF(O113&lt;=INDEX('Unit Economics'!$B$18:$D$18,1,B113),"Keep","Losing money")))</f>
        <v/>
      </c>
    </row>
    <row r="114" customFormat="false" ht="15" hidden="false" customHeight="true" outlineLevel="0" collapsed="false">
      <c r="J114" s="15"/>
      <c r="K114" s="15"/>
      <c r="L114" s="15"/>
      <c r="M114" s="14" t="str">
        <f aca="false">IF(E114&gt;0,F114/E114,"")</f>
        <v/>
      </c>
      <c r="N114" s="14" t="str">
        <f aca="false">IF(G114&gt;0,I114/G114,"")</f>
        <v/>
      </c>
      <c r="O114" s="8" t="str">
        <f aca="false">IF(AND(I114&gt;0,K114&gt;0),K114/I114,"")</f>
        <v/>
      </c>
      <c r="P114" s="9" t="str">
        <f aca="false">IF(K114&gt;0,J114/K114,"")</f>
        <v/>
      </c>
      <c r="Q114" s="8" t="str">
        <f aca="false">IF(B114="","",J114-J114*INDEX('Unit Economics'!$B$10:$D$10,1,B114)-I114*INDEX('Unit Economics'!$B$11:$D$11,1,B114)-L114)</f>
        <v/>
      </c>
      <c r="R114" s="8" t="str">
        <f aca="false">IF(B114="","",Q114-K114*(1+INDEX('Unit Economics'!$B$12:$D$12,1,B114)))</f>
        <v/>
      </c>
      <c r="S114" s="3" t="str">
        <f aca="false">IF(O114="","",IF(O114&lt;=INDEX('Unit Economics'!$B$19:$D$19,1,B114),"Scale",IF(O114&lt;=INDEX('Unit Economics'!$B$18:$D$18,1,B114),"Keep","Losing money")))</f>
        <v/>
      </c>
    </row>
    <row r="115" customFormat="false" ht="15" hidden="false" customHeight="true" outlineLevel="0" collapsed="false">
      <c r="J115" s="15"/>
      <c r="K115" s="15"/>
      <c r="L115" s="15"/>
      <c r="M115" s="14" t="str">
        <f aca="false">IF(E115&gt;0,F115/E115,"")</f>
        <v/>
      </c>
      <c r="N115" s="14" t="str">
        <f aca="false">IF(G115&gt;0,I115/G115,"")</f>
        <v/>
      </c>
      <c r="O115" s="8" t="str">
        <f aca="false">IF(AND(I115&gt;0,K115&gt;0),K115/I115,"")</f>
        <v/>
      </c>
      <c r="P115" s="9" t="str">
        <f aca="false">IF(K115&gt;0,J115/K115,"")</f>
        <v/>
      </c>
      <c r="Q115" s="8" t="str">
        <f aca="false">IF(B115="","",J115-J115*INDEX('Unit Economics'!$B$10:$D$10,1,B115)-I115*INDEX('Unit Economics'!$B$11:$D$11,1,B115)-L115)</f>
        <v/>
      </c>
      <c r="R115" s="8" t="str">
        <f aca="false">IF(B115="","",Q115-K115*(1+INDEX('Unit Economics'!$B$12:$D$12,1,B115)))</f>
        <v/>
      </c>
      <c r="S115" s="3" t="str">
        <f aca="false">IF(O115="","",IF(O115&lt;=INDEX('Unit Economics'!$B$19:$D$19,1,B115),"Scale",IF(O115&lt;=INDEX('Unit Economics'!$B$18:$D$18,1,B115),"Keep","Losing money")))</f>
        <v/>
      </c>
    </row>
    <row r="116" customFormat="false" ht="15" hidden="false" customHeight="true" outlineLevel="0" collapsed="false">
      <c r="J116" s="15"/>
      <c r="K116" s="15"/>
      <c r="L116" s="15"/>
      <c r="M116" s="14" t="str">
        <f aca="false">IF(E116&gt;0,F116/E116,"")</f>
        <v/>
      </c>
      <c r="N116" s="14" t="str">
        <f aca="false">IF(G116&gt;0,I116/G116,"")</f>
        <v/>
      </c>
      <c r="O116" s="8" t="str">
        <f aca="false">IF(AND(I116&gt;0,K116&gt;0),K116/I116,"")</f>
        <v/>
      </c>
      <c r="P116" s="9" t="str">
        <f aca="false">IF(K116&gt;0,J116/K116,"")</f>
        <v/>
      </c>
      <c r="Q116" s="8" t="str">
        <f aca="false">IF(B116="","",J116-J116*INDEX('Unit Economics'!$B$10:$D$10,1,B116)-I116*INDEX('Unit Economics'!$B$11:$D$11,1,B116)-L116)</f>
        <v/>
      </c>
      <c r="R116" s="8" t="str">
        <f aca="false">IF(B116="","",Q116-K116*(1+INDEX('Unit Economics'!$B$12:$D$12,1,B116)))</f>
        <v/>
      </c>
      <c r="S116" s="3" t="str">
        <f aca="false">IF(O116="","",IF(O116&lt;=INDEX('Unit Economics'!$B$19:$D$19,1,B116),"Scale",IF(O116&lt;=INDEX('Unit Economics'!$B$18:$D$18,1,B116),"Keep","Losing money")))</f>
        <v/>
      </c>
    </row>
    <row r="117" customFormat="false" ht="15" hidden="false" customHeight="true" outlineLevel="0" collapsed="false">
      <c r="J117" s="15"/>
      <c r="K117" s="15"/>
      <c r="L117" s="15"/>
      <c r="M117" s="14" t="str">
        <f aca="false">IF(E117&gt;0,F117/E117,"")</f>
        <v/>
      </c>
      <c r="N117" s="14" t="str">
        <f aca="false">IF(G117&gt;0,I117/G117,"")</f>
        <v/>
      </c>
      <c r="O117" s="8" t="str">
        <f aca="false">IF(AND(I117&gt;0,K117&gt;0),K117/I117,"")</f>
        <v/>
      </c>
      <c r="P117" s="9" t="str">
        <f aca="false">IF(K117&gt;0,J117/K117,"")</f>
        <v/>
      </c>
      <c r="Q117" s="8" t="str">
        <f aca="false">IF(B117="","",J117-J117*INDEX('Unit Economics'!$B$10:$D$10,1,B117)-I117*INDEX('Unit Economics'!$B$11:$D$11,1,B117)-L117)</f>
        <v/>
      </c>
      <c r="R117" s="8" t="str">
        <f aca="false">IF(B117="","",Q117-K117*(1+INDEX('Unit Economics'!$B$12:$D$12,1,B117)))</f>
        <v/>
      </c>
      <c r="S117" s="3" t="str">
        <f aca="false">IF(O117="","",IF(O117&lt;=INDEX('Unit Economics'!$B$19:$D$19,1,B117),"Scale",IF(O117&lt;=INDEX('Unit Economics'!$B$18:$D$18,1,B117),"Keep","Losing money")))</f>
        <v/>
      </c>
    </row>
    <row r="118" customFormat="false" ht="15" hidden="false" customHeight="true" outlineLevel="0" collapsed="false">
      <c r="J118" s="15"/>
      <c r="K118" s="15"/>
      <c r="L118" s="15"/>
      <c r="M118" s="14" t="str">
        <f aca="false">IF(E118&gt;0,F118/E118,"")</f>
        <v/>
      </c>
      <c r="N118" s="14" t="str">
        <f aca="false">IF(G118&gt;0,I118/G118,"")</f>
        <v/>
      </c>
      <c r="O118" s="8" t="str">
        <f aca="false">IF(AND(I118&gt;0,K118&gt;0),K118/I118,"")</f>
        <v/>
      </c>
      <c r="P118" s="9" t="str">
        <f aca="false">IF(K118&gt;0,J118/K118,"")</f>
        <v/>
      </c>
      <c r="Q118" s="8" t="str">
        <f aca="false">IF(B118="","",J118-J118*INDEX('Unit Economics'!$B$10:$D$10,1,B118)-I118*INDEX('Unit Economics'!$B$11:$D$11,1,B118)-L118)</f>
        <v/>
      </c>
      <c r="R118" s="8" t="str">
        <f aca="false">IF(B118="","",Q118-K118*(1+INDEX('Unit Economics'!$B$12:$D$12,1,B118)))</f>
        <v/>
      </c>
      <c r="S118" s="3" t="str">
        <f aca="false">IF(O118="","",IF(O118&lt;=INDEX('Unit Economics'!$B$19:$D$19,1,B118),"Scale",IF(O118&lt;=INDEX('Unit Economics'!$B$18:$D$18,1,B118),"Keep","Losing money")))</f>
        <v/>
      </c>
    </row>
    <row r="119" customFormat="false" ht="15" hidden="false" customHeight="true" outlineLevel="0" collapsed="false">
      <c r="J119" s="15"/>
      <c r="K119" s="15"/>
      <c r="L119" s="15"/>
      <c r="M119" s="14" t="str">
        <f aca="false">IF(E119&gt;0,F119/E119,"")</f>
        <v/>
      </c>
      <c r="N119" s="14" t="str">
        <f aca="false">IF(G119&gt;0,I119/G119,"")</f>
        <v/>
      </c>
      <c r="O119" s="8" t="str">
        <f aca="false">IF(AND(I119&gt;0,K119&gt;0),K119/I119,"")</f>
        <v/>
      </c>
      <c r="P119" s="9" t="str">
        <f aca="false">IF(K119&gt;0,J119/K119,"")</f>
        <v/>
      </c>
      <c r="Q119" s="8" t="str">
        <f aca="false">IF(B119="","",J119-J119*INDEX('Unit Economics'!$B$10:$D$10,1,B119)-I119*INDEX('Unit Economics'!$B$11:$D$11,1,B119)-L119)</f>
        <v/>
      </c>
      <c r="R119" s="8" t="str">
        <f aca="false">IF(B119="","",Q119-K119*(1+INDEX('Unit Economics'!$B$12:$D$12,1,B119)))</f>
        <v/>
      </c>
      <c r="S119" s="3" t="str">
        <f aca="false">IF(O119="","",IF(O119&lt;=INDEX('Unit Economics'!$B$19:$D$19,1,B119),"Scale",IF(O119&lt;=INDEX('Unit Economics'!$B$18:$D$18,1,B119),"Keep","Losing money")))</f>
        <v/>
      </c>
    </row>
    <row r="120" customFormat="false" ht="15" hidden="false" customHeight="true" outlineLevel="0" collapsed="false">
      <c r="J120" s="15"/>
      <c r="K120" s="15"/>
      <c r="L120" s="15"/>
      <c r="M120" s="14" t="str">
        <f aca="false">IF(E120&gt;0,F120/E120,"")</f>
        <v/>
      </c>
      <c r="N120" s="14" t="str">
        <f aca="false">IF(G120&gt;0,I120/G120,"")</f>
        <v/>
      </c>
      <c r="O120" s="8" t="str">
        <f aca="false">IF(AND(I120&gt;0,K120&gt;0),K120/I120,"")</f>
        <v/>
      </c>
      <c r="P120" s="9" t="str">
        <f aca="false">IF(K120&gt;0,J120/K120,"")</f>
        <v/>
      </c>
      <c r="Q120" s="8" t="str">
        <f aca="false">IF(B120="","",J120-J120*INDEX('Unit Economics'!$B$10:$D$10,1,B120)-I120*INDEX('Unit Economics'!$B$11:$D$11,1,B120)-L120)</f>
        <v/>
      </c>
      <c r="R120" s="8" t="str">
        <f aca="false">IF(B120="","",Q120-K120*(1+INDEX('Unit Economics'!$B$12:$D$12,1,B120)))</f>
        <v/>
      </c>
      <c r="S120" s="3" t="str">
        <f aca="false">IF(O120="","",IF(O120&lt;=INDEX('Unit Economics'!$B$19:$D$19,1,B120),"Scale",IF(O120&lt;=INDEX('Unit Economics'!$B$18:$D$18,1,B120),"Keep","Losing money")))</f>
        <v/>
      </c>
    </row>
    <row r="121" customFormat="false" ht="15" hidden="false" customHeight="true" outlineLevel="0" collapsed="false">
      <c r="J121" s="15"/>
      <c r="K121" s="15"/>
      <c r="L121" s="15"/>
      <c r="M121" s="14" t="str">
        <f aca="false">IF(E121&gt;0,F121/E121,"")</f>
        <v/>
      </c>
      <c r="N121" s="14" t="str">
        <f aca="false">IF(G121&gt;0,I121/G121,"")</f>
        <v/>
      </c>
      <c r="O121" s="8" t="str">
        <f aca="false">IF(AND(I121&gt;0,K121&gt;0),K121/I121,"")</f>
        <v/>
      </c>
      <c r="P121" s="9" t="str">
        <f aca="false">IF(K121&gt;0,J121/K121,"")</f>
        <v/>
      </c>
      <c r="Q121" s="8" t="str">
        <f aca="false">IF(B121="","",J121-J121*INDEX('Unit Economics'!$B$10:$D$10,1,B121)-I121*INDEX('Unit Economics'!$B$11:$D$11,1,B121)-L121)</f>
        <v/>
      </c>
      <c r="R121" s="8" t="str">
        <f aca="false">IF(B121="","",Q121-K121*(1+INDEX('Unit Economics'!$B$12:$D$12,1,B121)))</f>
        <v/>
      </c>
      <c r="S121" s="3" t="str">
        <f aca="false">IF(O121="","",IF(O121&lt;=INDEX('Unit Economics'!$B$19:$D$19,1,B121),"Scale",IF(O121&lt;=INDEX('Unit Economics'!$B$18:$D$18,1,B121),"Keep","Losing money")))</f>
        <v/>
      </c>
    </row>
    <row r="122" customFormat="false" ht="15" hidden="false" customHeight="true" outlineLevel="0" collapsed="false">
      <c r="J122" s="15"/>
      <c r="K122" s="15"/>
      <c r="L122" s="15"/>
      <c r="M122" s="14" t="str">
        <f aca="false">IF(E122&gt;0,F122/E122,"")</f>
        <v/>
      </c>
      <c r="N122" s="14" t="str">
        <f aca="false">IF(G122&gt;0,I122/G122,"")</f>
        <v/>
      </c>
      <c r="O122" s="8" t="str">
        <f aca="false">IF(AND(I122&gt;0,K122&gt;0),K122/I122,"")</f>
        <v/>
      </c>
      <c r="P122" s="9" t="str">
        <f aca="false">IF(K122&gt;0,J122/K122,"")</f>
        <v/>
      </c>
      <c r="Q122" s="8" t="str">
        <f aca="false">IF(B122="","",J122-J122*INDEX('Unit Economics'!$B$10:$D$10,1,B122)-I122*INDEX('Unit Economics'!$B$11:$D$11,1,B122)-L122)</f>
        <v/>
      </c>
      <c r="R122" s="8" t="str">
        <f aca="false">IF(B122="","",Q122-K122*(1+INDEX('Unit Economics'!$B$12:$D$12,1,B122)))</f>
        <v/>
      </c>
      <c r="S122" s="3" t="str">
        <f aca="false">IF(O122="","",IF(O122&lt;=INDEX('Unit Economics'!$B$19:$D$19,1,B122),"Scale",IF(O122&lt;=INDEX('Unit Economics'!$B$18:$D$18,1,B122),"Keep","Losing money")))</f>
        <v/>
      </c>
    </row>
    <row r="123" customFormat="false" ht="15" hidden="false" customHeight="true" outlineLevel="0" collapsed="false">
      <c r="J123" s="15"/>
      <c r="K123" s="15"/>
      <c r="L123" s="15"/>
      <c r="M123" s="14" t="str">
        <f aca="false">IF(E123&gt;0,F123/E123,"")</f>
        <v/>
      </c>
      <c r="N123" s="14" t="str">
        <f aca="false">IF(G123&gt;0,I123/G123,"")</f>
        <v/>
      </c>
      <c r="O123" s="8" t="str">
        <f aca="false">IF(AND(I123&gt;0,K123&gt;0),K123/I123,"")</f>
        <v/>
      </c>
      <c r="P123" s="9" t="str">
        <f aca="false">IF(K123&gt;0,J123/K123,"")</f>
        <v/>
      </c>
      <c r="Q123" s="8" t="str">
        <f aca="false">IF(B123="","",J123-J123*INDEX('Unit Economics'!$B$10:$D$10,1,B123)-I123*INDEX('Unit Economics'!$B$11:$D$11,1,B123)-L123)</f>
        <v/>
      </c>
      <c r="R123" s="8" t="str">
        <f aca="false">IF(B123="","",Q123-K123*(1+INDEX('Unit Economics'!$B$12:$D$12,1,B123)))</f>
        <v/>
      </c>
      <c r="S123" s="3" t="str">
        <f aca="false">IF(O123="","",IF(O123&lt;=INDEX('Unit Economics'!$B$19:$D$19,1,B123),"Scale",IF(O123&lt;=INDEX('Unit Economics'!$B$18:$D$18,1,B123),"Keep","Losing money")))</f>
        <v/>
      </c>
    </row>
    <row r="124" customFormat="false" ht="15" hidden="false" customHeight="true" outlineLevel="0" collapsed="false">
      <c r="J124" s="15"/>
      <c r="K124" s="15"/>
      <c r="L124" s="15"/>
      <c r="M124" s="14" t="str">
        <f aca="false">IF(E124&gt;0,F124/E124,"")</f>
        <v/>
      </c>
      <c r="N124" s="14" t="str">
        <f aca="false">IF(G124&gt;0,I124/G124,"")</f>
        <v/>
      </c>
      <c r="O124" s="8" t="str">
        <f aca="false">IF(AND(I124&gt;0,K124&gt;0),K124/I124,"")</f>
        <v/>
      </c>
      <c r="P124" s="9" t="str">
        <f aca="false">IF(K124&gt;0,J124/K124,"")</f>
        <v/>
      </c>
      <c r="Q124" s="8" t="str">
        <f aca="false">IF(B124="","",J124-J124*INDEX('Unit Economics'!$B$10:$D$10,1,B124)-I124*INDEX('Unit Economics'!$B$11:$D$11,1,B124)-L124)</f>
        <v/>
      </c>
      <c r="R124" s="8" t="str">
        <f aca="false">IF(B124="","",Q124-K124*(1+INDEX('Unit Economics'!$B$12:$D$12,1,B124)))</f>
        <v/>
      </c>
      <c r="S124" s="3" t="str">
        <f aca="false">IF(O124="","",IF(O124&lt;=INDEX('Unit Economics'!$B$19:$D$19,1,B124),"Scale",IF(O124&lt;=INDEX('Unit Economics'!$B$18:$D$18,1,B124),"Keep","Losing money")))</f>
        <v/>
      </c>
    </row>
    <row r="125" customFormat="false" ht="15" hidden="false" customHeight="true" outlineLevel="0" collapsed="false">
      <c r="J125" s="15"/>
      <c r="K125" s="15"/>
      <c r="L125" s="15"/>
      <c r="M125" s="14" t="str">
        <f aca="false">IF(E125&gt;0,F125/E125,"")</f>
        <v/>
      </c>
      <c r="N125" s="14" t="str">
        <f aca="false">IF(G125&gt;0,I125/G125,"")</f>
        <v/>
      </c>
      <c r="O125" s="8" t="str">
        <f aca="false">IF(AND(I125&gt;0,K125&gt;0),K125/I125,"")</f>
        <v/>
      </c>
      <c r="P125" s="9" t="str">
        <f aca="false">IF(K125&gt;0,J125/K125,"")</f>
        <v/>
      </c>
      <c r="Q125" s="8" t="str">
        <f aca="false">IF(B125="","",J125-J125*INDEX('Unit Economics'!$B$10:$D$10,1,B125)-I125*INDEX('Unit Economics'!$B$11:$D$11,1,B125)-L125)</f>
        <v/>
      </c>
      <c r="R125" s="8" t="str">
        <f aca="false">IF(B125="","",Q125-K125*(1+INDEX('Unit Economics'!$B$12:$D$12,1,B125)))</f>
        <v/>
      </c>
      <c r="S125" s="3" t="str">
        <f aca="false">IF(O125="","",IF(O125&lt;=INDEX('Unit Economics'!$B$19:$D$19,1,B125),"Scale",IF(O125&lt;=INDEX('Unit Economics'!$B$18:$D$18,1,B125),"Keep","Losing money")))</f>
        <v/>
      </c>
    </row>
    <row r="126" customFormat="false" ht="15" hidden="false" customHeight="true" outlineLevel="0" collapsed="false">
      <c r="J126" s="15"/>
      <c r="K126" s="15"/>
      <c r="L126" s="15"/>
      <c r="M126" s="14" t="str">
        <f aca="false">IF(E126&gt;0,F126/E126,"")</f>
        <v/>
      </c>
      <c r="N126" s="14" t="str">
        <f aca="false">IF(G126&gt;0,I126/G126,"")</f>
        <v/>
      </c>
      <c r="O126" s="8" t="str">
        <f aca="false">IF(AND(I126&gt;0,K126&gt;0),K126/I126,"")</f>
        <v/>
      </c>
      <c r="P126" s="9" t="str">
        <f aca="false">IF(K126&gt;0,J126/K126,"")</f>
        <v/>
      </c>
      <c r="Q126" s="8" t="str">
        <f aca="false">IF(B126="","",J126-J126*INDEX('Unit Economics'!$B$10:$D$10,1,B126)-I126*INDEX('Unit Economics'!$B$11:$D$11,1,B126)-L126)</f>
        <v/>
      </c>
      <c r="R126" s="8" t="str">
        <f aca="false">IF(B126="","",Q126-K126*(1+INDEX('Unit Economics'!$B$12:$D$12,1,B126)))</f>
        <v/>
      </c>
      <c r="S126" s="3" t="str">
        <f aca="false">IF(O126="","",IF(O126&lt;=INDEX('Unit Economics'!$B$19:$D$19,1,B126),"Scale",IF(O126&lt;=INDEX('Unit Economics'!$B$18:$D$18,1,B126),"Keep","Losing money")))</f>
        <v/>
      </c>
    </row>
    <row r="127" customFormat="false" ht="15" hidden="false" customHeight="true" outlineLevel="0" collapsed="false">
      <c r="J127" s="15"/>
      <c r="K127" s="15"/>
      <c r="L127" s="15"/>
      <c r="M127" s="14" t="str">
        <f aca="false">IF(E127&gt;0,F127/E127,"")</f>
        <v/>
      </c>
      <c r="N127" s="14" t="str">
        <f aca="false">IF(G127&gt;0,I127/G127,"")</f>
        <v/>
      </c>
      <c r="O127" s="8" t="str">
        <f aca="false">IF(AND(I127&gt;0,K127&gt;0),K127/I127,"")</f>
        <v/>
      </c>
      <c r="P127" s="9" t="str">
        <f aca="false">IF(K127&gt;0,J127/K127,"")</f>
        <v/>
      </c>
      <c r="Q127" s="8" t="str">
        <f aca="false">IF(B127="","",J127-J127*INDEX('Unit Economics'!$B$10:$D$10,1,B127)-I127*INDEX('Unit Economics'!$B$11:$D$11,1,B127)-L127)</f>
        <v/>
      </c>
      <c r="R127" s="8" t="str">
        <f aca="false">IF(B127="","",Q127-K127*(1+INDEX('Unit Economics'!$B$12:$D$12,1,B127)))</f>
        <v/>
      </c>
      <c r="S127" s="3" t="str">
        <f aca="false">IF(O127="","",IF(O127&lt;=INDEX('Unit Economics'!$B$19:$D$19,1,B127),"Scale",IF(O127&lt;=INDEX('Unit Economics'!$B$18:$D$18,1,B127),"Keep","Losing money")))</f>
        <v/>
      </c>
    </row>
    <row r="128" customFormat="false" ht="15" hidden="false" customHeight="true" outlineLevel="0" collapsed="false">
      <c r="J128" s="15"/>
      <c r="K128" s="15"/>
      <c r="L128" s="15"/>
      <c r="M128" s="14" t="str">
        <f aca="false">IF(E128&gt;0,F128/E128,"")</f>
        <v/>
      </c>
      <c r="N128" s="14" t="str">
        <f aca="false">IF(G128&gt;0,I128/G128,"")</f>
        <v/>
      </c>
      <c r="O128" s="8" t="str">
        <f aca="false">IF(AND(I128&gt;0,K128&gt;0),K128/I128,"")</f>
        <v/>
      </c>
      <c r="P128" s="9" t="str">
        <f aca="false">IF(K128&gt;0,J128/K128,"")</f>
        <v/>
      </c>
      <c r="Q128" s="8" t="str">
        <f aca="false">IF(B128="","",J128-J128*INDEX('Unit Economics'!$B$10:$D$10,1,B128)-I128*INDEX('Unit Economics'!$B$11:$D$11,1,B128)-L128)</f>
        <v/>
      </c>
      <c r="R128" s="8" t="str">
        <f aca="false">IF(B128="","",Q128-K128*(1+INDEX('Unit Economics'!$B$12:$D$12,1,B128)))</f>
        <v/>
      </c>
      <c r="S128" s="3" t="str">
        <f aca="false">IF(O128="","",IF(O128&lt;=INDEX('Unit Economics'!$B$19:$D$19,1,B128),"Scale",IF(O128&lt;=INDEX('Unit Economics'!$B$18:$D$18,1,B128),"Keep","Losing money")))</f>
        <v/>
      </c>
    </row>
    <row r="129" customFormat="false" ht="15" hidden="false" customHeight="true" outlineLevel="0" collapsed="false">
      <c r="J129" s="15"/>
      <c r="K129" s="15"/>
      <c r="L129" s="15"/>
      <c r="M129" s="14" t="str">
        <f aca="false">IF(E129&gt;0,F129/E129,"")</f>
        <v/>
      </c>
      <c r="N129" s="14" t="str">
        <f aca="false">IF(G129&gt;0,I129/G129,"")</f>
        <v/>
      </c>
      <c r="O129" s="8" t="str">
        <f aca="false">IF(AND(I129&gt;0,K129&gt;0),K129/I129,"")</f>
        <v/>
      </c>
      <c r="P129" s="9" t="str">
        <f aca="false">IF(K129&gt;0,J129/K129,"")</f>
        <v/>
      </c>
      <c r="Q129" s="8" t="str">
        <f aca="false">IF(B129="","",J129-J129*INDEX('Unit Economics'!$B$10:$D$10,1,B129)-I129*INDEX('Unit Economics'!$B$11:$D$11,1,B129)-L129)</f>
        <v/>
      </c>
      <c r="R129" s="8" t="str">
        <f aca="false">IF(B129="","",Q129-K129*(1+INDEX('Unit Economics'!$B$12:$D$12,1,B129)))</f>
        <v/>
      </c>
      <c r="S129" s="3" t="str">
        <f aca="false">IF(O129="","",IF(O129&lt;=INDEX('Unit Economics'!$B$19:$D$19,1,B129),"Scale",IF(O129&lt;=INDEX('Unit Economics'!$B$18:$D$18,1,B129),"Keep","Losing money")))</f>
        <v/>
      </c>
    </row>
    <row r="130" customFormat="false" ht="15" hidden="false" customHeight="true" outlineLevel="0" collapsed="false">
      <c r="J130" s="15"/>
      <c r="K130" s="15"/>
      <c r="L130" s="15"/>
      <c r="M130" s="14" t="str">
        <f aca="false">IF(E130&gt;0,F130/E130,"")</f>
        <v/>
      </c>
      <c r="N130" s="14" t="str">
        <f aca="false">IF(G130&gt;0,I130/G130,"")</f>
        <v/>
      </c>
      <c r="O130" s="8" t="str">
        <f aca="false">IF(AND(I130&gt;0,K130&gt;0),K130/I130,"")</f>
        <v/>
      </c>
      <c r="P130" s="9" t="str">
        <f aca="false">IF(K130&gt;0,J130/K130,"")</f>
        <v/>
      </c>
      <c r="Q130" s="8" t="str">
        <f aca="false">IF(B130="","",J130-J130*INDEX('Unit Economics'!$B$10:$D$10,1,B130)-I130*INDEX('Unit Economics'!$B$11:$D$11,1,B130)-L130)</f>
        <v/>
      </c>
      <c r="R130" s="8" t="str">
        <f aca="false">IF(B130="","",Q130-K130*(1+INDEX('Unit Economics'!$B$12:$D$12,1,B130)))</f>
        <v/>
      </c>
      <c r="S130" s="3" t="str">
        <f aca="false">IF(O130="","",IF(O130&lt;=INDEX('Unit Economics'!$B$19:$D$19,1,B130),"Scale",IF(O130&lt;=INDEX('Unit Economics'!$B$18:$D$18,1,B130),"Keep","Losing money")))</f>
        <v/>
      </c>
    </row>
    <row r="131" customFormat="false" ht="15" hidden="false" customHeight="true" outlineLevel="0" collapsed="false">
      <c r="J131" s="15"/>
      <c r="K131" s="15"/>
      <c r="L131" s="15"/>
      <c r="M131" s="14" t="str">
        <f aca="false">IF(E131&gt;0,F131/E131,"")</f>
        <v/>
      </c>
      <c r="N131" s="14" t="str">
        <f aca="false">IF(G131&gt;0,I131/G131,"")</f>
        <v/>
      </c>
      <c r="O131" s="8" t="str">
        <f aca="false">IF(AND(I131&gt;0,K131&gt;0),K131/I131,"")</f>
        <v/>
      </c>
      <c r="P131" s="9" t="str">
        <f aca="false">IF(K131&gt;0,J131/K131,"")</f>
        <v/>
      </c>
      <c r="Q131" s="8" t="str">
        <f aca="false">IF(B131="","",J131-J131*INDEX('Unit Economics'!$B$10:$D$10,1,B131)-I131*INDEX('Unit Economics'!$B$11:$D$11,1,B131)-L131)</f>
        <v/>
      </c>
      <c r="R131" s="8" t="str">
        <f aca="false">IF(B131="","",Q131-K131*(1+INDEX('Unit Economics'!$B$12:$D$12,1,B131)))</f>
        <v/>
      </c>
      <c r="S131" s="3" t="str">
        <f aca="false">IF(O131="","",IF(O131&lt;=INDEX('Unit Economics'!$B$19:$D$19,1,B131),"Scale",IF(O131&lt;=INDEX('Unit Economics'!$B$18:$D$18,1,B131),"Keep","Losing money")))</f>
        <v/>
      </c>
    </row>
    <row r="132" customFormat="false" ht="15" hidden="false" customHeight="true" outlineLevel="0" collapsed="false">
      <c r="J132" s="15"/>
      <c r="K132" s="15"/>
      <c r="L132" s="15"/>
      <c r="M132" s="14" t="str">
        <f aca="false">IF(E132&gt;0,F132/E132,"")</f>
        <v/>
      </c>
      <c r="N132" s="14" t="str">
        <f aca="false">IF(G132&gt;0,I132/G132,"")</f>
        <v/>
      </c>
      <c r="O132" s="8" t="str">
        <f aca="false">IF(AND(I132&gt;0,K132&gt;0),K132/I132,"")</f>
        <v/>
      </c>
      <c r="P132" s="9" t="str">
        <f aca="false">IF(K132&gt;0,J132/K132,"")</f>
        <v/>
      </c>
      <c r="Q132" s="8" t="str">
        <f aca="false">IF(B132="","",J132-J132*INDEX('Unit Economics'!$B$10:$D$10,1,B132)-I132*INDEX('Unit Economics'!$B$11:$D$11,1,B132)-L132)</f>
        <v/>
      </c>
      <c r="R132" s="8" t="str">
        <f aca="false">IF(B132="","",Q132-K132*(1+INDEX('Unit Economics'!$B$12:$D$12,1,B132)))</f>
        <v/>
      </c>
      <c r="S132" s="3" t="str">
        <f aca="false">IF(O132="","",IF(O132&lt;=INDEX('Unit Economics'!$B$19:$D$19,1,B132),"Scale",IF(O132&lt;=INDEX('Unit Economics'!$B$18:$D$18,1,B132),"Keep","Losing money")))</f>
        <v/>
      </c>
    </row>
    <row r="133" customFormat="false" ht="15" hidden="false" customHeight="true" outlineLevel="0" collapsed="false">
      <c r="J133" s="15"/>
      <c r="K133" s="15"/>
      <c r="L133" s="15"/>
      <c r="M133" s="14" t="str">
        <f aca="false">IF(E133&gt;0,F133/E133,"")</f>
        <v/>
      </c>
      <c r="N133" s="14" t="str">
        <f aca="false">IF(G133&gt;0,I133/G133,"")</f>
        <v/>
      </c>
      <c r="O133" s="8" t="str">
        <f aca="false">IF(AND(I133&gt;0,K133&gt;0),K133/I133,"")</f>
        <v/>
      </c>
      <c r="P133" s="9" t="str">
        <f aca="false">IF(K133&gt;0,J133/K133,"")</f>
        <v/>
      </c>
      <c r="Q133" s="8" t="str">
        <f aca="false">IF(B133="","",J133-J133*INDEX('Unit Economics'!$B$10:$D$10,1,B133)-I133*INDEX('Unit Economics'!$B$11:$D$11,1,B133)-L133)</f>
        <v/>
      </c>
      <c r="R133" s="8" t="str">
        <f aca="false">IF(B133="","",Q133-K133*(1+INDEX('Unit Economics'!$B$12:$D$12,1,B133)))</f>
        <v/>
      </c>
      <c r="S133" s="3" t="str">
        <f aca="false">IF(O133="","",IF(O133&lt;=INDEX('Unit Economics'!$B$19:$D$19,1,B133),"Scale",IF(O133&lt;=INDEX('Unit Economics'!$B$18:$D$18,1,B133),"Keep","Losing money")))</f>
        <v/>
      </c>
    </row>
    <row r="134" customFormat="false" ht="15" hidden="false" customHeight="true" outlineLevel="0" collapsed="false">
      <c r="J134" s="15"/>
      <c r="K134" s="15"/>
      <c r="L134" s="15"/>
      <c r="M134" s="14" t="str">
        <f aca="false">IF(E134&gt;0,F134/E134,"")</f>
        <v/>
      </c>
      <c r="N134" s="14" t="str">
        <f aca="false">IF(G134&gt;0,I134/G134,"")</f>
        <v/>
      </c>
      <c r="O134" s="8" t="str">
        <f aca="false">IF(AND(I134&gt;0,K134&gt;0),K134/I134,"")</f>
        <v/>
      </c>
      <c r="P134" s="9" t="str">
        <f aca="false">IF(K134&gt;0,J134/K134,"")</f>
        <v/>
      </c>
      <c r="Q134" s="8" t="str">
        <f aca="false">IF(B134="","",J134-J134*INDEX('Unit Economics'!$B$10:$D$10,1,B134)-I134*INDEX('Unit Economics'!$B$11:$D$11,1,B134)-L134)</f>
        <v/>
      </c>
      <c r="R134" s="8" t="str">
        <f aca="false">IF(B134="","",Q134-K134*(1+INDEX('Unit Economics'!$B$12:$D$12,1,B134)))</f>
        <v/>
      </c>
      <c r="S134" s="3" t="str">
        <f aca="false">IF(O134="","",IF(O134&lt;=INDEX('Unit Economics'!$B$19:$D$19,1,B134),"Scale",IF(O134&lt;=INDEX('Unit Economics'!$B$18:$D$18,1,B134),"Keep","Losing money")))</f>
        <v/>
      </c>
    </row>
    <row r="135" customFormat="false" ht="15" hidden="false" customHeight="true" outlineLevel="0" collapsed="false">
      <c r="J135" s="15"/>
      <c r="K135" s="15"/>
      <c r="L135" s="15"/>
      <c r="M135" s="14" t="str">
        <f aca="false">IF(E135&gt;0,F135/E135,"")</f>
        <v/>
      </c>
      <c r="N135" s="14" t="str">
        <f aca="false">IF(G135&gt;0,I135/G135,"")</f>
        <v/>
      </c>
      <c r="O135" s="8" t="str">
        <f aca="false">IF(AND(I135&gt;0,K135&gt;0),K135/I135,"")</f>
        <v/>
      </c>
      <c r="P135" s="9" t="str">
        <f aca="false">IF(K135&gt;0,J135/K135,"")</f>
        <v/>
      </c>
      <c r="Q135" s="8" t="str">
        <f aca="false">IF(B135="","",J135-J135*INDEX('Unit Economics'!$B$10:$D$10,1,B135)-I135*INDEX('Unit Economics'!$B$11:$D$11,1,B135)-L135)</f>
        <v/>
      </c>
      <c r="R135" s="8" t="str">
        <f aca="false">IF(B135="","",Q135-K135*(1+INDEX('Unit Economics'!$B$12:$D$12,1,B135)))</f>
        <v/>
      </c>
      <c r="S135" s="3" t="str">
        <f aca="false">IF(O135="","",IF(O135&lt;=INDEX('Unit Economics'!$B$19:$D$19,1,B135),"Scale",IF(O135&lt;=INDEX('Unit Economics'!$B$18:$D$18,1,B135),"Keep","Losing money")))</f>
        <v/>
      </c>
    </row>
    <row r="136" customFormat="false" ht="15" hidden="false" customHeight="true" outlineLevel="0" collapsed="false">
      <c r="J136" s="15"/>
      <c r="K136" s="15"/>
      <c r="L136" s="15"/>
      <c r="M136" s="14" t="str">
        <f aca="false">IF(E136&gt;0,F136/E136,"")</f>
        <v/>
      </c>
      <c r="N136" s="14" t="str">
        <f aca="false">IF(G136&gt;0,I136/G136,"")</f>
        <v/>
      </c>
      <c r="O136" s="8" t="str">
        <f aca="false">IF(AND(I136&gt;0,K136&gt;0),K136/I136,"")</f>
        <v/>
      </c>
      <c r="P136" s="9" t="str">
        <f aca="false">IF(K136&gt;0,J136/K136,"")</f>
        <v/>
      </c>
      <c r="Q136" s="8" t="str">
        <f aca="false">IF(B136="","",J136-J136*INDEX('Unit Economics'!$B$10:$D$10,1,B136)-I136*INDEX('Unit Economics'!$B$11:$D$11,1,B136)-L136)</f>
        <v/>
      </c>
      <c r="R136" s="8" t="str">
        <f aca="false">IF(B136="","",Q136-K136*(1+INDEX('Unit Economics'!$B$12:$D$12,1,B136)))</f>
        <v/>
      </c>
      <c r="S136" s="3" t="str">
        <f aca="false">IF(O136="","",IF(O136&lt;=INDEX('Unit Economics'!$B$19:$D$19,1,B136),"Scale",IF(O136&lt;=INDEX('Unit Economics'!$B$18:$D$18,1,B136),"Keep","Losing money")))</f>
        <v/>
      </c>
    </row>
    <row r="137" customFormat="false" ht="15" hidden="false" customHeight="true" outlineLevel="0" collapsed="false">
      <c r="J137" s="15"/>
      <c r="K137" s="15"/>
      <c r="L137" s="15"/>
      <c r="M137" s="14" t="str">
        <f aca="false">IF(E137&gt;0,F137/E137,"")</f>
        <v/>
      </c>
      <c r="N137" s="14" t="str">
        <f aca="false">IF(G137&gt;0,I137/G137,"")</f>
        <v/>
      </c>
      <c r="O137" s="8" t="str">
        <f aca="false">IF(AND(I137&gt;0,K137&gt;0),K137/I137,"")</f>
        <v/>
      </c>
      <c r="P137" s="9" t="str">
        <f aca="false">IF(K137&gt;0,J137/K137,"")</f>
        <v/>
      </c>
      <c r="Q137" s="8" t="str">
        <f aca="false">IF(B137="","",J137-J137*INDEX('Unit Economics'!$B$10:$D$10,1,B137)-I137*INDEX('Unit Economics'!$B$11:$D$11,1,B137)-L137)</f>
        <v/>
      </c>
      <c r="R137" s="8" t="str">
        <f aca="false">IF(B137="","",Q137-K137*(1+INDEX('Unit Economics'!$B$12:$D$12,1,B137)))</f>
        <v/>
      </c>
      <c r="S137" s="3" t="str">
        <f aca="false">IF(O137="","",IF(O137&lt;=INDEX('Unit Economics'!$B$19:$D$19,1,B137),"Scale",IF(O137&lt;=INDEX('Unit Economics'!$B$18:$D$18,1,B137),"Keep","Losing money")))</f>
        <v/>
      </c>
    </row>
    <row r="138" customFormat="false" ht="15" hidden="false" customHeight="true" outlineLevel="0" collapsed="false">
      <c r="J138" s="15"/>
      <c r="K138" s="15"/>
      <c r="L138" s="15"/>
      <c r="M138" s="14" t="str">
        <f aca="false">IF(E138&gt;0,F138/E138,"")</f>
        <v/>
      </c>
      <c r="N138" s="14" t="str">
        <f aca="false">IF(G138&gt;0,I138/G138,"")</f>
        <v/>
      </c>
      <c r="O138" s="8" t="str">
        <f aca="false">IF(AND(I138&gt;0,K138&gt;0),K138/I138,"")</f>
        <v/>
      </c>
      <c r="P138" s="9" t="str">
        <f aca="false">IF(K138&gt;0,J138/K138,"")</f>
        <v/>
      </c>
      <c r="Q138" s="8" t="str">
        <f aca="false">IF(B138="","",J138-J138*INDEX('Unit Economics'!$B$10:$D$10,1,B138)-I138*INDEX('Unit Economics'!$B$11:$D$11,1,B138)-L138)</f>
        <v/>
      </c>
      <c r="R138" s="8" t="str">
        <f aca="false">IF(B138="","",Q138-K138*(1+INDEX('Unit Economics'!$B$12:$D$12,1,B138)))</f>
        <v/>
      </c>
      <c r="S138" s="3" t="str">
        <f aca="false">IF(O138="","",IF(O138&lt;=INDEX('Unit Economics'!$B$19:$D$19,1,B138),"Scale",IF(O138&lt;=INDEX('Unit Economics'!$B$18:$D$18,1,B138),"Keep","Losing money")))</f>
        <v/>
      </c>
    </row>
    <row r="139" customFormat="false" ht="15" hidden="false" customHeight="true" outlineLevel="0" collapsed="false">
      <c r="J139" s="15"/>
      <c r="K139" s="15"/>
      <c r="L139" s="15"/>
      <c r="M139" s="14" t="str">
        <f aca="false">IF(E139&gt;0,F139/E139,"")</f>
        <v/>
      </c>
      <c r="N139" s="14" t="str">
        <f aca="false">IF(G139&gt;0,I139/G139,"")</f>
        <v/>
      </c>
      <c r="O139" s="8" t="str">
        <f aca="false">IF(AND(I139&gt;0,K139&gt;0),K139/I139,"")</f>
        <v/>
      </c>
      <c r="P139" s="9" t="str">
        <f aca="false">IF(K139&gt;0,J139/K139,"")</f>
        <v/>
      </c>
      <c r="Q139" s="8" t="str">
        <f aca="false">IF(B139="","",J139-J139*INDEX('Unit Economics'!$B$10:$D$10,1,B139)-I139*INDEX('Unit Economics'!$B$11:$D$11,1,B139)-L139)</f>
        <v/>
      </c>
      <c r="R139" s="8" t="str">
        <f aca="false">IF(B139="","",Q139-K139*(1+INDEX('Unit Economics'!$B$12:$D$12,1,B139)))</f>
        <v/>
      </c>
      <c r="S139" s="3" t="str">
        <f aca="false">IF(O139="","",IF(O139&lt;=INDEX('Unit Economics'!$B$19:$D$19,1,B139),"Scale",IF(O139&lt;=INDEX('Unit Economics'!$B$18:$D$18,1,B139),"Keep","Losing money")))</f>
        <v/>
      </c>
    </row>
    <row r="140" customFormat="false" ht="15" hidden="false" customHeight="true" outlineLevel="0" collapsed="false">
      <c r="J140" s="15"/>
      <c r="K140" s="15"/>
      <c r="L140" s="15"/>
      <c r="M140" s="14" t="str">
        <f aca="false">IF(E140&gt;0,F140/E140,"")</f>
        <v/>
      </c>
      <c r="N140" s="14" t="str">
        <f aca="false">IF(G140&gt;0,I140/G140,"")</f>
        <v/>
      </c>
      <c r="O140" s="8" t="str">
        <f aca="false">IF(AND(I140&gt;0,K140&gt;0),K140/I140,"")</f>
        <v/>
      </c>
      <c r="P140" s="9" t="str">
        <f aca="false">IF(K140&gt;0,J140/K140,"")</f>
        <v/>
      </c>
      <c r="Q140" s="8" t="str">
        <f aca="false">IF(B140="","",J140-J140*INDEX('Unit Economics'!$B$10:$D$10,1,B140)-I140*INDEX('Unit Economics'!$B$11:$D$11,1,B140)-L140)</f>
        <v/>
      </c>
      <c r="R140" s="8" t="str">
        <f aca="false">IF(B140="","",Q140-K140*(1+INDEX('Unit Economics'!$B$12:$D$12,1,B140)))</f>
        <v/>
      </c>
      <c r="S140" s="3" t="str">
        <f aca="false">IF(O140="","",IF(O140&lt;=INDEX('Unit Economics'!$B$19:$D$19,1,B140),"Scale",IF(O140&lt;=INDEX('Unit Economics'!$B$18:$D$18,1,B140),"Keep","Losing money")))</f>
        <v/>
      </c>
    </row>
    <row r="141" customFormat="false" ht="15" hidden="false" customHeight="true" outlineLevel="0" collapsed="false">
      <c r="J141" s="15"/>
      <c r="K141" s="15"/>
      <c r="L141" s="15"/>
      <c r="M141" s="14" t="str">
        <f aca="false">IF(E141&gt;0,F141/E141,"")</f>
        <v/>
      </c>
      <c r="N141" s="14" t="str">
        <f aca="false">IF(G141&gt;0,I141/G141,"")</f>
        <v/>
      </c>
      <c r="O141" s="8" t="str">
        <f aca="false">IF(AND(I141&gt;0,K141&gt;0),K141/I141,"")</f>
        <v/>
      </c>
      <c r="P141" s="9" t="str">
        <f aca="false">IF(K141&gt;0,J141/K141,"")</f>
        <v/>
      </c>
      <c r="Q141" s="8" t="str">
        <f aca="false">IF(B141="","",J141-J141*INDEX('Unit Economics'!$B$10:$D$10,1,B141)-I141*INDEX('Unit Economics'!$B$11:$D$11,1,B141)-L141)</f>
        <v/>
      </c>
      <c r="R141" s="8" t="str">
        <f aca="false">IF(B141="","",Q141-K141*(1+INDEX('Unit Economics'!$B$12:$D$12,1,B141)))</f>
        <v/>
      </c>
      <c r="S141" s="3" t="str">
        <f aca="false">IF(O141="","",IF(O141&lt;=INDEX('Unit Economics'!$B$19:$D$19,1,B141),"Scale",IF(O141&lt;=INDEX('Unit Economics'!$B$18:$D$18,1,B141),"Keep","Losing money")))</f>
        <v/>
      </c>
    </row>
    <row r="142" customFormat="false" ht="15" hidden="false" customHeight="true" outlineLevel="0" collapsed="false">
      <c r="J142" s="15"/>
      <c r="K142" s="15"/>
      <c r="L142" s="15"/>
      <c r="M142" s="14" t="str">
        <f aca="false">IF(E142&gt;0,F142/E142,"")</f>
        <v/>
      </c>
      <c r="N142" s="14" t="str">
        <f aca="false">IF(G142&gt;0,I142/G142,"")</f>
        <v/>
      </c>
      <c r="O142" s="8" t="str">
        <f aca="false">IF(AND(I142&gt;0,K142&gt;0),K142/I142,"")</f>
        <v/>
      </c>
      <c r="P142" s="9" t="str">
        <f aca="false">IF(K142&gt;0,J142/K142,"")</f>
        <v/>
      </c>
      <c r="Q142" s="8" t="str">
        <f aca="false">IF(B142="","",J142-J142*INDEX('Unit Economics'!$B$10:$D$10,1,B142)-I142*INDEX('Unit Economics'!$B$11:$D$11,1,B142)-L142)</f>
        <v/>
      </c>
      <c r="R142" s="8" t="str">
        <f aca="false">IF(B142="","",Q142-K142*(1+INDEX('Unit Economics'!$B$12:$D$12,1,B142)))</f>
        <v/>
      </c>
      <c r="S142" s="3" t="str">
        <f aca="false">IF(O142="","",IF(O142&lt;=INDEX('Unit Economics'!$B$19:$D$19,1,B142),"Scale",IF(O142&lt;=INDEX('Unit Economics'!$B$18:$D$18,1,B142),"Keep","Losing money")))</f>
        <v/>
      </c>
    </row>
    <row r="143" customFormat="false" ht="15" hidden="false" customHeight="true" outlineLevel="0" collapsed="false">
      <c r="J143" s="15"/>
      <c r="K143" s="15"/>
      <c r="L143" s="15"/>
      <c r="M143" s="14" t="str">
        <f aca="false">IF(E143&gt;0,F143/E143,"")</f>
        <v/>
      </c>
      <c r="N143" s="14" t="str">
        <f aca="false">IF(G143&gt;0,I143/G143,"")</f>
        <v/>
      </c>
      <c r="O143" s="8" t="str">
        <f aca="false">IF(AND(I143&gt;0,K143&gt;0),K143/I143,"")</f>
        <v/>
      </c>
      <c r="P143" s="9" t="str">
        <f aca="false">IF(K143&gt;0,J143/K143,"")</f>
        <v/>
      </c>
      <c r="Q143" s="8" t="str">
        <f aca="false">IF(B143="","",J143-J143*INDEX('Unit Economics'!$B$10:$D$10,1,B143)-I143*INDEX('Unit Economics'!$B$11:$D$11,1,B143)-L143)</f>
        <v/>
      </c>
      <c r="R143" s="8" t="str">
        <f aca="false">IF(B143="","",Q143-K143*(1+INDEX('Unit Economics'!$B$12:$D$12,1,B143)))</f>
        <v/>
      </c>
      <c r="S143" s="3" t="str">
        <f aca="false">IF(O143="","",IF(O143&lt;=INDEX('Unit Economics'!$B$19:$D$19,1,B143),"Scale",IF(O143&lt;=INDEX('Unit Economics'!$B$18:$D$18,1,B143),"Keep","Losing money")))</f>
        <v/>
      </c>
    </row>
    <row r="144" customFormat="false" ht="15" hidden="false" customHeight="true" outlineLevel="0" collapsed="false">
      <c r="J144" s="15"/>
      <c r="K144" s="15"/>
      <c r="L144" s="15"/>
      <c r="M144" s="14" t="str">
        <f aca="false">IF(E144&gt;0,F144/E144,"")</f>
        <v/>
      </c>
      <c r="N144" s="14" t="str">
        <f aca="false">IF(G144&gt;0,I144/G144,"")</f>
        <v/>
      </c>
      <c r="O144" s="8" t="str">
        <f aca="false">IF(AND(I144&gt;0,K144&gt;0),K144/I144,"")</f>
        <v/>
      </c>
      <c r="P144" s="9" t="str">
        <f aca="false">IF(K144&gt;0,J144/K144,"")</f>
        <v/>
      </c>
      <c r="Q144" s="8" t="str">
        <f aca="false">IF(B144="","",J144-J144*INDEX('Unit Economics'!$B$10:$D$10,1,B144)-I144*INDEX('Unit Economics'!$B$11:$D$11,1,B144)-L144)</f>
        <v/>
      </c>
      <c r="R144" s="8" t="str">
        <f aca="false">IF(B144="","",Q144-K144*(1+INDEX('Unit Economics'!$B$12:$D$12,1,B144)))</f>
        <v/>
      </c>
      <c r="S144" s="3" t="str">
        <f aca="false">IF(O144="","",IF(O144&lt;=INDEX('Unit Economics'!$B$19:$D$19,1,B144),"Scale",IF(O144&lt;=INDEX('Unit Economics'!$B$18:$D$18,1,B144),"Keep","Losing money")))</f>
        <v/>
      </c>
    </row>
    <row r="145" customFormat="false" ht="15" hidden="false" customHeight="true" outlineLevel="0" collapsed="false">
      <c r="J145" s="15"/>
      <c r="K145" s="15"/>
      <c r="L145" s="15"/>
      <c r="M145" s="14" t="str">
        <f aca="false">IF(E145&gt;0,F145/E145,"")</f>
        <v/>
      </c>
      <c r="N145" s="14" t="str">
        <f aca="false">IF(G145&gt;0,I145/G145,"")</f>
        <v/>
      </c>
      <c r="O145" s="8" t="str">
        <f aca="false">IF(AND(I145&gt;0,K145&gt;0),K145/I145,"")</f>
        <v/>
      </c>
      <c r="P145" s="9" t="str">
        <f aca="false">IF(K145&gt;0,J145/K145,"")</f>
        <v/>
      </c>
      <c r="Q145" s="8" t="str">
        <f aca="false">IF(B145="","",J145-J145*INDEX('Unit Economics'!$B$10:$D$10,1,B145)-I145*INDEX('Unit Economics'!$B$11:$D$11,1,B145)-L145)</f>
        <v/>
      </c>
      <c r="R145" s="8" t="str">
        <f aca="false">IF(B145="","",Q145-K145*(1+INDEX('Unit Economics'!$B$12:$D$12,1,B145)))</f>
        <v/>
      </c>
      <c r="S145" s="3" t="str">
        <f aca="false">IF(O145="","",IF(O145&lt;=INDEX('Unit Economics'!$B$19:$D$19,1,B145),"Scale",IF(O145&lt;=INDEX('Unit Economics'!$B$18:$D$18,1,B145),"Keep","Losing money")))</f>
        <v/>
      </c>
    </row>
    <row r="146" customFormat="false" ht="15" hidden="false" customHeight="true" outlineLevel="0" collapsed="false">
      <c r="J146" s="15"/>
      <c r="K146" s="15"/>
      <c r="L146" s="15"/>
      <c r="M146" s="14" t="str">
        <f aca="false">IF(E146&gt;0,F146/E146,"")</f>
        <v/>
      </c>
      <c r="N146" s="14" t="str">
        <f aca="false">IF(G146&gt;0,I146/G146,"")</f>
        <v/>
      </c>
      <c r="O146" s="8" t="str">
        <f aca="false">IF(AND(I146&gt;0,K146&gt;0),K146/I146,"")</f>
        <v/>
      </c>
      <c r="P146" s="9" t="str">
        <f aca="false">IF(K146&gt;0,J146/K146,"")</f>
        <v/>
      </c>
      <c r="Q146" s="8" t="str">
        <f aca="false">IF(B146="","",J146-J146*INDEX('Unit Economics'!$B$10:$D$10,1,B146)-I146*INDEX('Unit Economics'!$B$11:$D$11,1,B146)-L146)</f>
        <v/>
      </c>
      <c r="R146" s="8" t="str">
        <f aca="false">IF(B146="","",Q146-K146*(1+INDEX('Unit Economics'!$B$12:$D$12,1,B146)))</f>
        <v/>
      </c>
      <c r="S146" s="3" t="str">
        <f aca="false">IF(O146="","",IF(O146&lt;=INDEX('Unit Economics'!$B$19:$D$19,1,B146),"Scale",IF(O146&lt;=INDEX('Unit Economics'!$B$18:$D$18,1,B146),"Keep","Losing money")))</f>
        <v/>
      </c>
    </row>
    <row r="147" customFormat="false" ht="15" hidden="false" customHeight="true" outlineLevel="0" collapsed="false">
      <c r="J147" s="15"/>
      <c r="K147" s="15"/>
      <c r="L147" s="15"/>
      <c r="M147" s="14" t="str">
        <f aca="false">IF(E147&gt;0,F147/E147,"")</f>
        <v/>
      </c>
      <c r="N147" s="14" t="str">
        <f aca="false">IF(G147&gt;0,I147/G147,"")</f>
        <v/>
      </c>
      <c r="O147" s="8" t="str">
        <f aca="false">IF(AND(I147&gt;0,K147&gt;0),K147/I147,"")</f>
        <v/>
      </c>
      <c r="P147" s="9" t="str">
        <f aca="false">IF(K147&gt;0,J147/K147,"")</f>
        <v/>
      </c>
      <c r="Q147" s="8" t="str">
        <f aca="false">IF(B147="","",J147-J147*INDEX('Unit Economics'!$B$10:$D$10,1,B147)-I147*INDEX('Unit Economics'!$B$11:$D$11,1,B147)-L147)</f>
        <v/>
      </c>
      <c r="R147" s="8" t="str">
        <f aca="false">IF(B147="","",Q147-K147*(1+INDEX('Unit Economics'!$B$12:$D$12,1,B147)))</f>
        <v/>
      </c>
      <c r="S147" s="3" t="str">
        <f aca="false">IF(O147="","",IF(O147&lt;=INDEX('Unit Economics'!$B$19:$D$19,1,B147),"Scale",IF(O147&lt;=INDEX('Unit Economics'!$B$18:$D$18,1,B147),"Keep","Losing money")))</f>
        <v/>
      </c>
    </row>
    <row r="148" customFormat="false" ht="15" hidden="false" customHeight="true" outlineLevel="0" collapsed="false">
      <c r="J148" s="15"/>
      <c r="K148" s="15"/>
      <c r="L148" s="15"/>
      <c r="M148" s="14" t="str">
        <f aca="false">IF(E148&gt;0,F148/E148,"")</f>
        <v/>
      </c>
      <c r="N148" s="14" t="str">
        <f aca="false">IF(G148&gt;0,I148/G148,"")</f>
        <v/>
      </c>
      <c r="O148" s="8" t="str">
        <f aca="false">IF(AND(I148&gt;0,K148&gt;0),K148/I148,"")</f>
        <v/>
      </c>
      <c r="P148" s="9" t="str">
        <f aca="false">IF(K148&gt;0,J148/K148,"")</f>
        <v/>
      </c>
      <c r="Q148" s="8" t="str">
        <f aca="false">IF(B148="","",J148-J148*INDEX('Unit Economics'!$B$10:$D$10,1,B148)-I148*INDEX('Unit Economics'!$B$11:$D$11,1,B148)-L148)</f>
        <v/>
      </c>
      <c r="R148" s="8" t="str">
        <f aca="false">IF(B148="","",Q148-K148*(1+INDEX('Unit Economics'!$B$12:$D$12,1,B148)))</f>
        <v/>
      </c>
      <c r="S148" s="3" t="str">
        <f aca="false">IF(O148="","",IF(O148&lt;=INDEX('Unit Economics'!$B$19:$D$19,1,B148),"Scale",IF(O148&lt;=INDEX('Unit Economics'!$B$18:$D$18,1,B148),"Keep","Losing money")))</f>
        <v/>
      </c>
    </row>
    <row r="149" customFormat="false" ht="15" hidden="false" customHeight="true" outlineLevel="0" collapsed="false">
      <c r="J149" s="15"/>
      <c r="K149" s="15"/>
      <c r="L149" s="15"/>
      <c r="M149" s="14" t="str">
        <f aca="false">IF(E149&gt;0,F149/E149,"")</f>
        <v/>
      </c>
      <c r="N149" s="14" t="str">
        <f aca="false">IF(G149&gt;0,I149/G149,"")</f>
        <v/>
      </c>
      <c r="O149" s="8" t="str">
        <f aca="false">IF(AND(I149&gt;0,K149&gt;0),K149/I149,"")</f>
        <v/>
      </c>
      <c r="P149" s="9" t="str">
        <f aca="false">IF(K149&gt;0,J149/K149,"")</f>
        <v/>
      </c>
      <c r="Q149" s="8" t="str">
        <f aca="false">IF(B149="","",J149-J149*INDEX('Unit Economics'!$B$10:$D$10,1,B149)-I149*INDEX('Unit Economics'!$B$11:$D$11,1,B149)-L149)</f>
        <v/>
      </c>
      <c r="R149" s="8" t="str">
        <f aca="false">IF(B149="","",Q149-K149*(1+INDEX('Unit Economics'!$B$12:$D$12,1,B149)))</f>
        <v/>
      </c>
      <c r="S149" s="3" t="str">
        <f aca="false">IF(O149="","",IF(O149&lt;=INDEX('Unit Economics'!$B$19:$D$19,1,B149),"Scale",IF(O149&lt;=INDEX('Unit Economics'!$B$18:$D$18,1,B149),"Keep","Losing money")))</f>
        <v/>
      </c>
    </row>
    <row r="150" customFormat="false" ht="15" hidden="false" customHeight="true" outlineLevel="0" collapsed="false">
      <c r="J150" s="15"/>
      <c r="K150" s="15"/>
      <c r="L150" s="15"/>
      <c r="M150" s="14" t="str">
        <f aca="false">IF(E150&gt;0,F150/E150,"")</f>
        <v/>
      </c>
      <c r="N150" s="14" t="str">
        <f aca="false">IF(G150&gt;0,I150/G150,"")</f>
        <v/>
      </c>
      <c r="O150" s="8" t="str">
        <f aca="false">IF(AND(I150&gt;0,K150&gt;0),K150/I150,"")</f>
        <v/>
      </c>
      <c r="P150" s="9" t="str">
        <f aca="false">IF(K150&gt;0,J150/K150,"")</f>
        <v/>
      </c>
      <c r="Q150" s="8" t="str">
        <f aca="false">IF(B150="","",J150-J150*INDEX('Unit Economics'!$B$10:$D$10,1,B150)-I150*INDEX('Unit Economics'!$B$11:$D$11,1,B150)-L150)</f>
        <v/>
      </c>
      <c r="R150" s="8" t="str">
        <f aca="false">IF(B150="","",Q150-K150*(1+INDEX('Unit Economics'!$B$12:$D$12,1,B150)))</f>
        <v/>
      </c>
      <c r="S150" s="3" t="str">
        <f aca="false">IF(O150="","",IF(O150&lt;=INDEX('Unit Economics'!$B$19:$D$19,1,B150),"Scale",IF(O150&lt;=INDEX('Unit Economics'!$B$18:$D$18,1,B150),"Keep","Losing money")))</f>
        <v/>
      </c>
    </row>
    <row r="151" customFormat="false" ht="15" hidden="false" customHeight="true" outlineLevel="0" collapsed="false">
      <c r="J151" s="15"/>
      <c r="K151" s="15"/>
      <c r="L151" s="15"/>
      <c r="M151" s="14" t="str">
        <f aca="false">IF(E151&gt;0,F151/E151,"")</f>
        <v/>
      </c>
      <c r="N151" s="14" t="str">
        <f aca="false">IF(G151&gt;0,I151/G151,"")</f>
        <v/>
      </c>
      <c r="O151" s="8" t="str">
        <f aca="false">IF(AND(I151&gt;0,K151&gt;0),K151/I151,"")</f>
        <v/>
      </c>
      <c r="P151" s="9" t="str">
        <f aca="false">IF(K151&gt;0,J151/K151,"")</f>
        <v/>
      </c>
      <c r="Q151" s="8" t="str">
        <f aca="false">IF(B151="","",J151-J151*INDEX('Unit Economics'!$B$10:$D$10,1,B151)-I151*INDEX('Unit Economics'!$B$11:$D$11,1,B151)-L151)</f>
        <v/>
      </c>
      <c r="R151" s="8" t="str">
        <f aca="false">IF(B151="","",Q151-K151*(1+INDEX('Unit Economics'!$B$12:$D$12,1,B151)))</f>
        <v/>
      </c>
      <c r="S151" s="3" t="str">
        <f aca="false">IF(O151="","",IF(O151&lt;=INDEX('Unit Economics'!$B$19:$D$19,1,B151),"Scale",IF(O151&lt;=INDEX('Unit Economics'!$B$18:$D$18,1,B151),"Keep","Losing money")))</f>
        <v/>
      </c>
    </row>
    <row r="152" customFormat="false" ht="15" hidden="false" customHeight="true" outlineLevel="0" collapsed="false">
      <c r="J152" s="15"/>
      <c r="K152" s="15"/>
      <c r="L152" s="15"/>
      <c r="M152" s="14" t="str">
        <f aca="false">IF(E152&gt;0,F152/E152,"")</f>
        <v/>
      </c>
      <c r="N152" s="14" t="str">
        <f aca="false">IF(G152&gt;0,I152/G152,"")</f>
        <v/>
      </c>
      <c r="O152" s="8" t="str">
        <f aca="false">IF(AND(I152&gt;0,K152&gt;0),K152/I152,"")</f>
        <v/>
      </c>
      <c r="P152" s="9" t="str">
        <f aca="false">IF(K152&gt;0,J152/K152,"")</f>
        <v/>
      </c>
      <c r="Q152" s="8" t="str">
        <f aca="false">IF(B152="","",J152-J152*INDEX('Unit Economics'!$B$10:$D$10,1,B152)-I152*INDEX('Unit Economics'!$B$11:$D$11,1,B152)-L152)</f>
        <v/>
      </c>
      <c r="R152" s="8" t="str">
        <f aca="false">IF(B152="","",Q152-K152*(1+INDEX('Unit Economics'!$B$12:$D$12,1,B152)))</f>
        <v/>
      </c>
      <c r="S152" s="3" t="str">
        <f aca="false">IF(O152="","",IF(O152&lt;=INDEX('Unit Economics'!$B$19:$D$19,1,B152),"Scale",IF(O152&lt;=INDEX('Unit Economics'!$B$18:$D$18,1,B152),"Keep","Losing money")))</f>
        <v/>
      </c>
    </row>
    <row r="153" customFormat="false" ht="15" hidden="false" customHeight="true" outlineLevel="0" collapsed="false">
      <c r="J153" s="15"/>
      <c r="K153" s="15"/>
      <c r="L153" s="15"/>
      <c r="M153" s="14" t="str">
        <f aca="false">IF(E153&gt;0,F153/E153,"")</f>
        <v/>
      </c>
      <c r="N153" s="14" t="str">
        <f aca="false">IF(G153&gt;0,I153/G153,"")</f>
        <v/>
      </c>
      <c r="O153" s="8" t="str">
        <f aca="false">IF(AND(I153&gt;0,K153&gt;0),K153/I153,"")</f>
        <v/>
      </c>
      <c r="P153" s="9" t="str">
        <f aca="false">IF(K153&gt;0,J153/K153,"")</f>
        <v/>
      </c>
      <c r="Q153" s="8" t="str">
        <f aca="false">IF(B153="","",J153-J153*INDEX('Unit Economics'!$B$10:$D$10,1,B153)-I153*INDEX('Unit Economics'!$B$11:$D$11,1,B153)-L153)</f>
        <v/>
      </c>
      <c r="R153" s="8" t="str">
        <f aca="false">IF(B153="","",Q153-K153*(1+INDEX('Unit Economics'!$B$12:$D$12,1,B153)))</f>
        <v/>
      </c>
      <c r="S153" s="3" t="str">
        <f aca="false">IF(O153="","",IF(O153&lt;=INDEX('Unit Economics'!$B$19:$D$19,1,B153),"Scale",IF(O153&lt;=INDEX('Unit Economics'!$B$18:$D$18,1,B153),"Keep","Losing money")))</f>
        <v/>
      </c>
    </row>
    <row r="154" customFormat="false" ht="15" hidden="false" customHeight="true" outlineLevel="0" collapsed="false">
      <c r="J154" s="15"/>
      <c r="K154" s="15"/>
      <c r="L154" s="15"/>
      <c r="M154" s="14" t="str">
        <f aca="false">IF(E154&gt;0,F154/E154,"")</f>
        <v/>
      </c>
      <c r="N154" s="14" t="str">
        <f aca="false">IF(G154&gt;0,I154/G154,"")</f>
        <v/>
      </c>
      <c r="O154" s="8" t="str">
        <f aca="false">IF(AND(I154&gt;0,K154&gt;0),K154/I154,"")</f>
        <v/>
      </c>
      <c r="P154" s="9" t="str">
        <f aca="false">IF(K154&gt;0,J154/K154,"")</f>
        <v/>
      </c>
      <c r="Q154" s="8" t="str">
        <f aca="false">IF(B154="","",J154-J154*INDEX('Unit Economics'!$B$10:$D$10,1,B154)-I154*INDEX('Unit Economics'!$B$11:$D$11,1,B154)-L154)</f>
        <v/>
      </c>
      <c r="R154" s="8" t="str">
        <f aca="false">IF(B154="","",Q154-K154*(1+INDEX('Unit Economics'!$B$12:$D$12,1,B154)))</f>
        <v/>
      </c>
      <c r="S154" s="3" t="str">
        <f aca="false">IF(O154="","",IF(O154&lt;=INDEX('Unit Economics'!$B$19:$D$19,1,B154),"Scale",IF(O154&lt;=INDEX('Unit Economics'!$B$18:$D$18,1,B154),"Keep","Losing money")))</f>
        <v/>
      </c>
    </row>
    <row r="155" customFormat="false" ht="15" hidden="false" customHeight="true" outlineLevel="0" collapsed="false">
      <c r="J155" s="15"/>
      <c r="K155" s="15"/>
      <c r="L155" s="15"/>
      <c r="M155" s="14" t="str">
        <f aca="false">IF(E155&gt;0,F155/E155,"")</f>
        <v/>
      </c>
      <c r="N155" s="14" t="str">
        <f aca="false">IF(G155&gt;0,I155/G155,"")</f>
        <v/>
      </c>
      <c r="O155" s="8" t="str">
        <f aca="false">IF(AND(I155&gt;0,K155&gt;0),K155/I155,"")</f>
        <v/>
      </c>
      <c r="P155" s="9" t="str">
        <f aca="false">IF(K155&gt;0,J155/K155,"")</f>
        <v/>
      </c>
      <c r="Q155" s="8" t="str">
        <f aca="false">IF(B155="","",J155-J155*INDEX('Unit Economics'!$B$10:$D$10,1,B155)-I155*INDEX('Unit Economics'!$B$11:$D$11,1,B155)-L155)</f>
        <v/>
      </c>
      <c r="R155" s="8" t="str">
        <f aca="false">IF(B155="","",Q155-K155*(1+INDEX('Unit Economics'!$B$12:$D$12,1,B155)))</f>
        <v/>
      </c>
      <c r="S155" s="3" t="str">
        <f aca="false">IF(O155="","",IF(O155&lt;=INDEX('Unit Economics'!$B$19:$D$19,1,B155),"Scale",IF(O155&lt;=INDEX('Unit Economics'!$B$18:$D$18,1,B155),"Keep","Losing money")))</f>
        <v/>
      </c>
    </row>
    <row r="156" customFormat="false" ht="15" hidden="false" customHeight="true" outlineLevel="0" collapsed="false">
      <c r="J156" s="15"/>
      <c r="K156" s="15"/>
      <c r="L156" s="15"/>
      <c r="M156" s="14" t="str">
        <f aca="false">IF(E156&gt;0,F156/E156,"")</f>
        <v/>
      </c>
      <c r="N156" s="14" t="str">
        <f aca="false">IF(G156&gt;0,I156/G156,"")</f>
        <v/>
      </c>
      <c r="O156" s="8" t="str">
        <f aca="false">IF(AND(I156&gt;0,K156&gt;0),K156/I156,"")</f>
        <v/>
      </c>
      <c r="P156" s="9" t="str">
        <f aca="false">IF(K156&gt;0,J156/K156,"")</f>
        <v/>
      </c>
      <c r="Q156" s="8" t="str">
        <f aca="false">IF(B156="","",J156-J156*INDEX('Unit Economics'!$B$10:$D$10,1,B156)-I156*INDEX('Unit Economics'!$B$11:$D$11,1,B156)-L156)</f>
        <v/>
      </c>
      <c r="R156" s="8" t="str">
        <f aca="false">IF(B156="","",Q156-K156*(1+INDEX('Unit Economics'!$B$12:$D$12,1,B156)))</f>
        <v/>
      </c>
      <c r="S156" s="3" t="str">
        <f aca="false">IF(O156="","",IF(O156&lt;=INDEX('Unit Economics'!$B$19:$D$19,1,B156),"Scale",IF(O156&lt;=INDEX('Unit Economics'!$B$18:$D$18,1,B156),"Keep","Losing money")))</f>
        <v/>
      </c>
    </row>
    <row r="157" customFormat="false" ht="15" hidden="false" customHeight="true" outlineLevel="0" collapsed="false">
      <c r="J157" s="15"/>
      <c r="K157" s="15"/>
      <c r="L157" s="15"/>
      <c r="M157" s="14" t="str">
        <f aca="false">IF(E157&gt;0,F157/E157,"")</f>
        <v/>
      </c>
      <c r="N157" s="14" t="str">
        <f aca="false">IF(G157&gt;0,I157/G157,"")</f>
        <v/>
      </c>
      <c r="O157" s="8" t="str">
        <f aca="false">IF(AND(I157&gt;0,K157&gt;0),K157/I157,"")</f>
        <v/>
      </c>
      <c r="P157" s="9" t="str">
        <f aca="false">IF(K157&gt;0,J157/K157,"")</f>
        <v/>
      </c>
      <c r="Q157" s="8" t="str">
        <f aca="false">IF(B157="","",J157-J157*INDEX('Unit Economics'!$B$10:$D$10,1,B157)-I157*INDEX('Unit Economics'!$B$11:$D$11,1,B157)-L157)</f>
        <v/>
      </c>
      <c r="R157" s="8" t="str">
        <f aca="false">IF(B157="","",Q157-K157*(1+INDEX('Unit Economics'!$B$12:$D$12,1,B157)))</f>
        <v/>
      </c>
      <c r="S157" s="3" t="str">
        <f aca="false">IF(O157="","",IF(O157&lt;=INDEX('Unit Economics'!$B$19:$D$19,1,B157),"Scale",IF(O157&lt;=INDEX('Unit Economics'!$B$18:$D$18,1,B157),"Keep","Losing money")))</f>
        <v/>
      </c>
    </row>
    <row r="158" customFormat="false" ht="15" hidden="false" customHeight="true" outlineLevel="0" collapsed="false">
      <c r="J158" s="15"/>
      <c r="K158" s="15"/>
      <c r="L158" s="15"/>
      <c r="M158" s="14" t="str">
        <f aca="false">IF(E158&gt;0,F158/E158,"")</f>
        <v/>
      </c>
      <c r="N158" s="14" t="str">
        <f aca="false">IF(G158&gt;0,I158/G158,"")</f>
        <v/>
      </c>
      <c r="O158" s="8" t="str">
        <f aca="false">IF(AND(I158&gt;0,K158&gt;0),K158/I158,"")</f>
        <v/>
      </c>
      <c r="P158" s="9" t="str">
        <f aca="false">IF(K158&gt;0,J158/K158,"")</f>
        <v/>
      </c>
      <c r="Q158" s="8" t="str">
        <f aca="false">IF(B158="","",J158-J158*INDEX('Unit Economics'!$B$10:$D$10,1,B158)-I158*INDEX('Unit Economics'!$B$11:$D$11,1,B158)-L158)</f>
        <v/>
      </c>
      <c r="R158" s="8" t="str">
        <f aca="false">IF(B158="","",Q158-K158*(1+INDEX('Unit Economics'!$B$12:$D$12,1,B158)))</f>
        <v/>
      </c>
      <c r="S158" s="3" t="str">
        <f aca="false">IF(O158="","",IF(O158&lt;=INDEX('Unit Economics'!$B$19:$D$19,1,B158),"Scale",IF(O158&lt;=INDEX('Unit Economics'!$B$18:$D$18,1,B158),"Keep","Losing money")))</f>
        <v/>
      </c>
    </row>
    <row r="159" customFormat="false" ht="15" hidden="false" customHeight="true" outlineLevel="0" collapsed="false">
      <c r="J159" s="15"/>
      <c r="K159" s="15"/>
      <c r="L159" s="15"/>
      <c r="M159" s="14" t="str">
        <f aca="false">IF(E159&gt;0,F159/E159,"")</f>
        <v/>
      </c>
      <c r="N159" s="14" t="str">
        <f aca="false">IF(G159&gt;0,I159/G159,"")</f>
        <v/>
      </c>
      <c r="O159" s="8" t="str">
        <f aca="false">IF(AND(I159&gt;0,K159&gt;0),K159/I159,"")</f>
        <v/>
      </c>
      <c r="P159" s="9" t="str">
        <f aca="false">IF(K159&gt;0,J159/K159,"")</f>
        <v/>
      </c>
      <c r="Q159" s="8" t="str">
        <f aca="false">IF(B159="","",J159-J159*INDEX('Unit Economics'!$B$10:$D$10,1,B159)-I159*INDEX('Unit Economics'!$B$11:$D$11,1,B159)-L159)</f>
        <v/>
      </c>
      <c r="R159" s="8" t="str">
        <f aca="false">IF(B159="","",Q159-K159*(1+INDEX('Unit Economics'!$B$12:$D$12,1,B159)))</f>
        <v/>
      </c>
      <c r="S159" s="3" t="str">
        <f aca="false">IF(O159="","",IF(O159&lt;=INDEX('Unit Economics'!$B$19:$D$19,1,B159),"Scale",IF(O159&lt;=INDEX('Unit Economics'!$B$18:$D$18,1,B159),"Keep","Losing money")))</f>
        <v/>
      </c>
    </row>
    <row r="160" customFormat="false" ht="15" hidden="false" customHeight="true" outlineLevel="0" collapsed="false">
      <c r="J160" s="15"/>
      <c r="K160" s="15"/>
      <c r="L160" s="15"/>
      <c r="M160" s="14" t="str">
        <f aca="false">IF(E160&gt;0,F160/E160,"")</f>
        <v/>
      </c>
      <c r="N160" s="14" t="str">
        <f aca="false">IF(G160&gt;0,I160/G160,"")</f>
        <v/>
      </c>
      <c r="O160" s="8" t="str">
        <f aca="false">IF(AND(I160&gt;0,K160&gt;0),K160/I160,"")</f>
        <v/>
      </c>
      <c r="P160" s="9" t="str">
        <f aca="false">IF(K160&gt;0,J160/K160,"")</f>
        <v/>
      </c>
      <c r="Q160" s="8" t="str">
        <f aca="false">IF(B160="","",J160-J160*INDEX('Unit Economics'!$B$10:$D$10,1,B160)-I160*INDEX('Unit Economics'!$B$11:$D$11,1,B160)-L160)</f>
        <v/>
      </c>
      <c r="R160" s="8" t="str">
        <f aca="false">IF(B160="","",Q160-K160*(1+INDEX('Unit Economics'!$B$12:$D$12,1,B160)))</f>
        <v/>
      </c>
      <c r="S160" s="3" t="str">
        <f aca="false">IF(O160="","",IF(O160&lt;=INDEX('Unit Economics'!$B$19:$D$19,1,B160),"Scale",IF(O160&lt;=INDEX('Unit Economics'!$B$18:$D$18,1,B160),"Keep","Losing money")))</f>
        <v/>
      </c>
    </row>
    <row r="161" customFormat="false" ht="15" hidden="false" customHeight="true" outlineLevel="0" collapsed="false">
      <c r="J161" s="15"/>
      <c r="K161" s="15"/>
      <c r="L161" s="15"/>
      <c r="M161" s="14" t="str">
        <f aca="false">IF(E161&gt;0,F161/E161,"")</f>
        <v/>
      </c>
      <c r="N161" s="14" t="str">
        <f aca="false">IF(G161&gt;0,I161/G161,"")</f>
        <v/>
      </c>
      <c r="O161" s="8" t="str">
        <f aca="false">IF(AND(I161&gt;0,K161&gt;0),K161/I161,"")</f>
        <v/>
      </c>
      <c r="P161" s="9" t="str">
        <f aca="false">IF(K161&gt;0,J161/K161,"")</f>
        <v/>
      </c>
      <c r="Q161" s="8" t="str">
        <f aca="false">IF(B161="","",J161-J161*INDEX('Unit Economics'!$B$10:$D$10,1,B161)-I161*INDEX('Unit Economics'!$B$11:$D$11,1,B161)-L161)</f>
        <v/>
      </c>
      <c r="R161" s="8" t="str">
        <f aca="false">IF(B161="","",Q161-K161*(1+INDEX('Unit Economics'!$B$12:$D$12,1,B161)))</f>
        <v/>
      </c>
      <c r="S161" s="3" t="str">
        <f aca="false">IF(O161="","",IF(O161&lt;=INDEX('Unit Economics'!$B$19:$D$19,1,B161),"Scale",IF(O161&lt;=INDEX('Unit Economics'!$B$18:$D$18,1,B161),"Keep","Losing money")))</f>
        <v/>
      </c>
    </row>
    <row r="162" customFormat="false" ht="15" hidden="false" customHeight="true" outlineLevel="0" collapsed="false">
      <c r="J162" s="15"/>
      <c r="K162" s="15"/>
      <c r="L162" s="15"/>
      <c r="M162" s="14" t="str">
        <f aca="false">IF(E162&gt;0,F162/E162,"")</f>
        <v/>
      </c>
      <c r="N162" s="14" t="str">
        <f aca="false">IF(G162&gt;0,I162/G162,"")</f>
        <v/>
      </c>
      <c r="O162" s="8" t="str">
        <f aca="false">IF(AND(I162&gt;0,K162&gt;0),K162/I162,"")</f>
        <v/>
      </c>
      <c r="P162" s="9" t="str">
        <f aca="false">IF(K162&gt;0,J162/K162,"")</f>
        <v/>
      </c>
      <c r="Q162" s="8" t="str">
        <f aca="false">IF(B162="","",J162-J162*INDEX('Unit Economics'!$B$10:$D$10,1,B162)-I162*INDEX('Unit Economics'!$B$11:$D$11,1,B162)-L162)</f>
        <v/>
      </c>
      <c r="R162" s="8" t="str">
        <f aca="false">IF(B162="","",Q162-K162*(1+INDEX('Unit Economics'!$B$12:$D$12,1,B162)))</f>
        <v/>
      </c>
      <c r="S162" s="3" t="str">
        <f aca="false">IF(O162="","",IF(O162&lt;=INDEX('Unit Economics'!$B$19:$D$19,1,B162),"Scale",IF(O162&lt;=INDEX('Unit Economics'!$B$18:$D$18,1,B162),"Keep","Losing money")))</f>
        <v/>
      </c>
    </row>
    <row r="163" customFormat="false" ht="15" hidden="false" customHeight="true" outlineLevel="0" collapsed="false">
      <c r="J163" s="15"/>
      <c r="K163" s="15"/>
      <c r="L163" s="15"/>
      <c r="M163" s="14" t="str">
        <f aca="false">IF(E163&gt;0,F163/E163,"")</f>
        <v/>
      </c>
      <c r="N163" s="14" t="str">
        <f aca="false">IF(G163&gt;0,I163/G163,"")</f>
        <v/>
      </c>
      <c r="O163" s="8" t="str">
        <f aca="false">IF(AND(I163&gt;0,K163&gt;0),K163/I163,"")</f>
        <v/>
      </c>
      <c r="P163" s="9" t="str">
        <f aca="false">IF(K163&gt;0,J163/K163,"")</f>
        <v/>
      </c>
      <c r="Q163" s="8" t="str">
        <f aca="false">IF(B163="","",J163-J163*INDEX('Unit Economics'!$B$10:$D$10,1,B163)-I163*INDEX('Unit Economics'!$B$11:$D$11,1,B163)-L163)</f>
        <v/>
      </c>
      <c r="R163" s="8" t="str">
        <f aca="false">IF(B163="","",Q163-K163*(1+INDEX('Unit Economics'!$B$12:$D$12,1,B163)))</f>
        <v/>
      </c>
      <c r="S163" s="3" t="str">
        <f aca="false">IF(O163="","",IF(O163&lt;=INDEX('Unit Economics'!$B$19:$D$19,1,B163),"Scale",IF(O163&lt;=INDEX('Unit Economics'!$B$18:$D$18,1,B163),"Keep","Losing money")))</f>
        <v/>
      </c>
    </row>
    <row r="164" customFormat="false" ht="15" hidden="false" customHeight="true" outlineLevel="0" collapsed="false">
      <c r="J164" s="15"/>
      <c r="K164" s="15"/>
      <c r="L164" s="15"/>
      <c r="M164" s="14" t="str">
        <f aca="false">IF(E164&gt;0,F164/E164,"")</f>
        <v/>
      </c>
      <c r="N164" s="14" t="str">
        <f aca="false">IF(G164&gt;0,I164/G164,"")</f>
        <v/>
      </c>
      <c r="O164" s="8" t="str">
        <f aca="false">IF(AND(I164&gt;0,K164&gt;0),K164/I164,"")</f>
        <v/>
      </c>
      <c r="P164" s="9" t="str">
        <f aca="false">IF(K164&gt;0,J164/K164,"")</f>
        <v/>
      </c>
      <c r="Q164" s="8" t="str">
        <f aca="false">IF(B164="","",J164-J164*INDEX('Unit Economics'!$B$10:$D$10,1,B164)-I164*INDEX('Unit Economics'!$B$11:$D$11,1,B164)-L164)</f>
        <v/>
      </c>
      <c r="R164" s="8" t="str">
        <f aca="false">IF(B164="","",Q164-K164*(1+INDEX('Unit Economics'!$B$12:$D$12,1,B164)))</f>
        <v/>
      </c>
      <c r="S164" s="3" t="str">
        <f aca="false">IF(O164="","",IF(O164&lt;=INDEX('Unit Economics'!$B$19:$D$19,1,B164),"Scale",IF(O164&lt;=INDEX('Unit Economics'!$B$18:$D$18,1,B164),"Keep","Losing money")))</f>
        <v/>
      </c>
    </row>
    <row r="165" customFormat="false" ht="15" hidden="false" customHeight="true" outlineLevel="0" collapsed="false">
      <c r="J165" s="15"/>
      <c r="K165" s="15"/>
      <c r="L165" s="15"/>
      <c r="M165" s="14" t="str">
        <f aca="false">IF(E165&gt;0,F165/E165,"")</f>
        <v/>
      </c>
      <c r="N165" s="14" t="str">
        <f aca="false">IF(G165&gt;0,I165/G165,"")</f>
        <v/>
      </c>
      <c r="O165" s="8" t="str">
        <f aca="false">IF(AND(I165&gt;0,K165&gt;0),K165/I165,"")</f>
        <v/>
      </c>
      <c r="P165" s="9" t="str">
        <f aca="false">IF(K165&gt;0,J165/K165,"")</f>
        <v/>
      </c>
      <c r="Q165" s="8" t="str">
        <f aca="false">IF(B165="","",J165-J165*INDEX('Unit Economics'!$B$10:$D$10,1,B165)-I165*INDEX('Unit Economics'!$B$11:$D$11,1,B165)-L165)</f>
        <v/>
      </c>
      <c r="R165" s="8" t="str">
        <f aca="false">IF(B165="","",Q165-K165*(1+INDEX('Unit Economics'!$B$12:$D$12,1,B165)))</f>
        <v/>
      </c>
      <c r="S165" s="3" t="str">
        <f aca="false">IF(O165="","",IF(O165&lt;=INDEX('Unit Economics'!$B$19:$D$19,1,B165),"Scale",IF(O165&lt;=INDEX('Unit Economics'!$B$18:$D$18,1,B165),"Keep","Losing money")))</f>
        <v/>
      </c>
    </row>
    <row r="166" customFormat="false" ht="15" hidden="false" customHeight="true" outlineLevel="0" collapsed="false">
      <c r="J166" s="15"/>
      <c r="K166" s="15"/>
      <c r="L166" s="15"/>
      <c r="M166" s="14" t="str">
        <f aca="false">IF(E166&gt;0,F166/E166,"")</f>
        <v/>
      </c>
      <c r="N166" s="14" t="str">
        <f aca="false">IF(G166&gt;0,I166/G166,"")</f>
        <v/>
      </c>
      <c r="O166" s="8" t="str">
        <f aca="false">IF(AND(I166&gt;0,K166&gt;0),K166/I166,"")</f>
        <v/>
      </c>
      <c r="P166" s="9" t="str">
        <f aca="false">IF(K166&gt;0,J166/K166,"")</f>
        <v/>
      </c>
      <c r="Q166" s="8" t="str">
        <f aca="false">IF(B166="","",J166-J166*INDEX('Unit Economics'!$B$10:$D$10,1,B166)-I166*INDEX('Unit Economics'!$B$11:$D$11,1,B166)-L166)</f>
        <v/>
      </c>
      <c r="R166" s="8" t="str">
        <f aca="false">IF(B166="","",Q166-K166*(1+INDEX('Unit Economics'!$B$12:$D$12,1,B166)))</f>
        <v/>
      </c>
      <c r="S166" s="3" t="str">
        <f aca="false">IF(O166="","",IF(O166&lt;=INDEX('Unit Economics'!$B$19:$D$19,1,B166),"Scale",IF(O166&lt;=INDEX('Unit Economics'!$B$18:$D$18,1,B166),"Keep","Losing money")))</f>
        <v/>
      </c>
    </row>
    <row r="167" customFormat="false" ht="15" hidden="false" customHeight="true" outlineLevel="0" collapsed="false">
      <c r="J167" s="15"/>
      <c r="K167" s="15"/>
      <c r="L167" s="15"/>
      <c r="M167" s="14" t="str">
        <f aca="false">IF(E167&gt;0,F167/E167,"")</f>
        <v/>
      </c>
      <c r="N167" s="14" t="str">
        <f aca="false">IF(G167&gt;0,I167/G167,"")</f>
        <v/>
      </c>
      <c r="O167" s="8" t="str">
        <f aca="false">IF(AND(I167&gt;0,K167&gt;0),K167/I167,"")</f>
        <v/>
      </c>
      <c r="P167" s="9" t="str">
        <f aca="false">IF(K167&gt;0,J167/K167,"")</f>
        <v/>
      </c>
      <c r="Q167" s="8" t="str">
        <f aca="false">IF(B167="","",J167-J167*INDEX('Unit Economics'!$B$10:$D$10,1,B167)-I167*INDEX('Unit Economics'!$B$11:$D$11,1,B167)-L167)</f>
        <v/>
      </c>
      <c r="R167" s="8" t="str">
        <f aca="false">IF(B167="","",Q167-K167*(1+INDEX('Unit Economics'!$B$12:$D$12,1,B167)))</f>
        <v/>
      </c>
      <c r="S167" s="3" t="str">
        <f aca="false">IF(O167="","",IF(O167&lt;=INDEX('Unit Economics'!$B$19:$D$19,1,B167),"Scale",IF(O167&lt;=INDEX('Unit Economics'!$B$18:$D$18,1,B167),"Keep","Losing money")))</f>
        <v/>
      </c>
    </row>
    <row r="168" customFormat="false" ht="15" hidden="false" customHeight="true" outlineLevel="0" collapsed="false">
      <c r="J168" s="15"/>
      <c r="K168" s="15"/>
      <c r="L168" s="15"/>
      <c r="M168" s="14" t="str">
        <f aca="false">IF(E168&gt;0,F168/E168,"")</f>
        <v/>
      </c>
      <c r="N168" s="14" t="str">
        <f aca="false">IF(G168&gt;0,I168/G168,"")</f>
        <v/>
      </c>
      <c r="O168" s="8" t="str">
        <f aca="false">IF(AND(I168&gt;0,K168&gt;0),K168/I168,"")</f>
        <v/>
      </c>
      <c r="P168" s="9" t="str">
        <f aca="false">IF(K168&gt;0,J168/K168,"")</f>
        <v/>
      </c>
      <c r="Q168" s="8" t="str">
        <f aca="false">IF(B168="","",J168-J168*INDEX('Unit Economics'!$B$10:$D$10,1,B168)-I168*INDEX('Unit Economics'!$B$11:$D$11,1,B168)-L168)</f>
        <v/>
      </c>
      <c r="R168" s="8" t="str">
        <f aca="false">IF(B168="","",Q168-K168*(1+INDEX('Unit Economics'!$B$12:$D$12,1,B168)))</f>
        <v/>
      </c>
      <c r="S168" s="3" t="str">
        <f aca="false">IF(O168="","",IF(O168&lt;=INDEX('Unit Economics'!$B$19:$D$19,1,B168),"Scale",IF(O168&lt;=INDEX('Unit Economics'!$B$18:$D$18,1,B168),"Keep","Losing money")))</f>
        <v/>
      </c>
    </row>
    <row r="169" customFormat="false" ht="15" hidden="false" customHeight="true" outlineLevel="0" collapsed="false">
      <c r="J169" s="15"/>
      <c r="K169" s="15"/>
      <c r="L169" s="15"/>
      <c r="M169" s="14" t="str">
        <f aca="false">IF(E169&gt;0,F169/E169,"")</f>
        <v/>
      </c>
      <c r="N169" s="14" t="str">
        <f aca="false">IF(G169&gt;0,I169/G169,"")</f>
        <v/>
      </c>
      <c r="O169" s="8" t="str">
        <f aca="false">IF(AND(I169&gt;0,K169&gt;0),K169/I169,"")</f>
        <v/>
      </c>
      <c r="P169" s="9" t="str">
        <f aca="false">IF(K169&gt;0,J169/K169,"")</f>
        <v/>
      </c>
      <c r="Q169" s="8" t="str">
        <f aca="false">IF(B169="","",J169-J169*INDEX('Unit Economics'!$B$10:$D$10,1,B169)-I169*INDEX('Unit Economics'!$B$11:$D$11,1,B169)-L169)</f>
        <v/>
      </c>
      <c r="R169" s="8" t="str">
        <f aca="false">IF(B169="","",Q169-K169*(1+INDEX('Unit Economics'!$B$12:$D$12,1,B169)))</f>
        <v/>
      </c>
      <c r="S169" s="3" t="str">
        <f aca="false">IF(O169="","",IF(O169&lt;=INDEX('Unit Economics'!$B$19:$D$19,1,B169),"Scale",IF(O169&lt;=INDEX('Unit Economics'!$B$18:$D$18,1,B169),"Keep","Losing money")))</f>
        <v/>
      </c>
    </row>
    <row r="170" customFormat="false" ht="15" hidden="false" customHeight="true" outlineLevel="0" collapsed="false">
      <c r="J170" s="15"/>
      <c r="K170" s="15"/>
      <c r="L170" s="15"/>
      <c r="M170" s="14" t="str">
        <f aca="false">IF(E170&gt;0,F170/E170,"")</f>
        <v/>
      </c>
      <c r="N170" s="14" t="str">
        <f aca="false">IF(G170&gt;0,I170/G170,"")</f>
        <v/>
      </c>
      <c r="O170" s="8" t="str">
        <f aca="false">IF(AND(I170&gt;0,K170&gt;0),K170/I170,"")</f>
        <v/>
      </c>
      <c r="P170" s="9" t="str">
        <f aca="false">IF(K170&gt;0,J170/K170,"")</f>
        <v/>
      </c>
      <c r="Q170" s="8" t="str">
        <f aca="false">IF(B170="","",J170-J170*INDEX('Unit Economics'!$B$10:$D$10,1,B170)-I170*INDEX('Unit Economics'!$B$11:$D$11,1,B170)-L170)</f>
        <v/>
      </c>
      <c r="R170" s="8" t="str">
        <f aca="false">IF(B170="","",Q170-K170*(1+INDEX('Unit Economics'!$B$12:$D$12,1,B170)))</f>
        <v/>
      </c>
      <c r="S170" s="3" t="str">
        <f aca="false">IF(O170="","",IF(O170&lt;=INDEX('Unit Economics'!$B$19:$D$19,1,B170),"Scale",IF(O170&lt;=INDEX('Unit Economics'!$B$18:$D$18,1,B170),"Keep","Losing money")))</f>
        <v/>
      </c>
    </row>
    <row r="171" customFormat="false" ht="15" hidden="false" customHeight="true" outlineLevel="0" collapsed="false">
      <c r="J171" s="15"/>
      <c r="K171" s="15"/>
      <c r="L171" s="15"/>
      <c r="M171" s="14" t="str">
        <f aca="false">IF(E171&gt;0,F171/E171,"")</f>
        <v/>
      </c>
      <c r="N171" s="14" t="str">
        <f aca="false">IF(G171&gt;0,I171/G171,"")</f>
        <v/>
      </c>
      <c r="O171" s="8" t="str">
        <f aca="false">IF(AND(I171&gt;0,K171&gt;0),K171/I171,"")</f>
        <v/>
      </c>
      <c r="P171" s="9" t="str">
        <f aca="false">IF(K171&gt;0,J171/K171,"")</f>
        <v/>
      </c>
      <c r="Q171" s="8" t="str">
        <f aca="false">IF(B171="","",J171-J171*INDEX('Unit Economics'!$B$10:$D$10,1,B171)-I171*INDEX('Unit Economics'!$B$11:$D$11,1,B171)-L171)</f>
        <v/>
      </c>
      <c r="R171" s="8" t="str">
        <f aca="false">IF(B171="","",Q171-K171*(1+INDEX('Unit Economics'!$B$12:$D$12,1,B171)))</f>
        <v/>
      </c>
      <c r="S171" s="3" t="str">
        <f aca="false">IF(O171="","",IF(O171&lt;=INDEX('Unit Economics'!$B$19:$D$19,1,B171),"Scale",IF(O171&lt;=INDEX('Unit Economics'!$B$18:$D$18,1,B171),"Keep","Losing money")))</f>
        <v/>
      </c>
    </row>
    <row r="172" customFormat="false" ht="15" hidden="false" customHeight="true" outlineLevel="0" collapsed="false">
      <c r="J172" s="15"/>
      <c r="K172" s="15"/>
      <c r="L172" s="15"/>
      <c r="M172" s="14" t="str">
        <f aca="false">IF(E172&gt;0,F172/E172,"")</f>
        <v/>
      </c>
      <c r="N172" s="14" t="str">
        <f aca="false">IF(G172&gt;0,I172/G172,"")</f>
        <v/>
      </c>
      <c r="O172" s="8" t="str">
        <f aca="false">IF(AND(I172&gt;0,K172&gt;0),K172/I172,"")</f>
        <v/>
      </c>
      <c r="P172" s="9" t="str">
        <f aca="false">IF(K172&gt;0,J172/K172,"")</f>
        <v/>
      </c>
      <c r="Q172" s="8" t="str">
        <f aca="false">IF(B172="","",J172-J172*INDEX('Unit Economics'!$B$10:$D$10,1,B172)-I172*INDEX('Unit Economics'!$B$11:$D$11,1,B172)-L172)</f>
        <v/>
      </c>
      <c r="R172" s="8" t="str">
        <f aca="false">IF(B172="","",Q172-K172*(1+INDEX('Unit Economics'!$B$12:$D$12,1,B172)))</f>
        <v/>
      </c>
      <c r="S172" s="3" t="str">
        <f aca="false">IF(O172="","",IF(O172&lt;=INDEX('Unit Economics'!$B$19:$D$19,1,B172),"Scale",IF(O172&lt;=INDEX('Unit Economics'!$B$18:$D$18,1,B172),"Keep","Losing money")))</f>
        <v/>
      </c>
    </row>
    <row r="173" customFormat="false" ht="15" hidden="false" customHeight="true" outlineLevel="0" collapsed="false">
      <c r="J173" s="15"/>
      <c r="K173" s="15"/>
      <c r="L173" s="15"/>
      <c r="M173" s="14" t="str">
        <f aca="false">IF(E173&gt;0,F173/E173,"")</f>
        <v/>
      </c>
      <c r="N173" s="14" t="str">
        <f aca="false">IF(G173&gt;0,I173/G173,"")</f>
        <v/>
      </c>
      <c r="O173" s="8" t="str">
        <f aca="false">IF(AND(I173&gt;0,K173&gt;0),K173/I173,"")</f>
        <v/>
      </c>
      <c r="P173" s="9" t="str">
        <f aca="false">IF(K173&gt;0,J173/K173,"")</f>
        <v/>
      </c>
      <c r="Q173" s="8" t="str">
        <f aca="false">IF(B173="","",J173-J173*INDEX('Unit Economics'!$B$10:$D$10,1,B173)-I173*INDEX('Unit Economics'!$B$11:$D$11,1,B173)-L173)</f>
        <v/>
      </c>
      <c r="R173" s="8" t="str">
        <f aca="false">IF(B173="","",Q173-K173*(1+INDEX('Unit Economics'!$B$12:$D$12,1,B173)))</f>
        <v/>
      </c>
      <c r="S173" s="3" t="str">
        <f aca="false">IF(O173="","",IF(O173&lt;=INDEX('Unit Economics'!$B$19:$D$19,1,B173),"Scale",IF(O173&lt;=INDEX('Unit Economics'!$B$18:$D$18,1,B173),"Keep","Losing money")))</f>
        <v/>
      </c>
    </row>
    <row r="174" customFormat="false" ht="15" hidden="false" customHeight="true" outlineLevel="0" collapsed="false">
      <c r="J174" s="15"/>
      <c r="K174" s="15"/>
      <c r="L174" s="15"/>
      <c r="M174" s="14" t="str">
        <f aca="false">IF(E174&gt;0,F174/E174,"")</f>
        <v/>
      </c>
      <c r="N174" s="14" t="str">
        <f aca="false">IF(G174&gt;0,I174/G174,"")</f>
        <v/>
      </c>
      <c r="O174" s="8" t="str">
        <f aca="false">IF(AND(I174&gt;0,K174&gt;0),K174/I174,"")</f>
        <v/>
      </c>
      <c r="P174" s="9" t="str">
        <f aca="false">IF(K174&gt;0,J174/K174,"")</f>
        <v/>
      </c>
      <c r="Q174" s="8" t="str">
        <f aca="false">IF(B174="","",J174-J174*INDEX('Unit Economics'!$B$10:$D$10,1,B174)-I174*INDEX('Unit Economics'!$B$11:$D$11,1,B174)-L174)</f>
        <v/>
      </c>
      <c r="R174" s="8" t="str">
        <f aca="false">IF(B174="","",Q174-K174*(1+INDEX('Unit Economics'!$B$12:$D$12,1,B174)))</f>
        <v/>
      </c>
      <c r="S174" s="3" t="str">
        <f aca="false">IF(O174="","",IF(O174&lt;=INDEX('Unit Economics'!$B$19:$D$19,1,B174),"Scale",IF(O174&lt;=INDEX('Unit Economics'!$B$18:$D$18,1,B174),"Keep","Losing money")))</f>
        <v/>
      </c>
    </row>
    <row r="175" customFormat="false" ht="15" hidden="false" customHeight="true" outlineLevel="0" collapsed="false">
      <c r="J175" s="15"/>
      <c r="K175" s="15"/>
      <c r="L175" s="15"/>
      <c r="M175" s="14" t="str">
        <f aca="false">IF(E175&gt;0,F175/E175,"")</f>
        <v/>
      </c>
      <c r="N175" s="14" t="str">
        <f aca="false">IF(G175&gt;0,I175/G175,"")</f>
        <v/>
      </c>
      <c r="O175" s="8" t="str">
        <f aca="false">IF(AND(I175&gt;0,K175&gt;0),K175/I175,"")</f>
        <v/>
      </c>
      <c r="P175" s="9" t="str">
        <f aca="false">IF(K175&gt;0,J175/K175,"")</f>
        <v/>
      </c>
      <c r="Q175" s="8" t="str">
        <f aca="false">IF(B175="","",J175-J175*INDEX('Unit Economics'!$B$10:$D$10,1,B175)-I175*INDEX('Unit Economics'!$B$11:$D$11,1,B175)-L175)</f>
        <v/>
      </c>
      <c r="R175" s="8" t="str">
        <f aca="false">IF(B175="","",Q175-K175*(1+INDEX('Unit Economics'!$B$12:$D$12,1,B175)))</f>
        <v/>
      </c>
      <c r="S175" s="3" t="str">
        <f aca="false">IF(O175="","",IF(O175&lt;=INDEX('Unit Economics'!$B$19:$D$19,1,B175),"Scale",IF(O175&lt;=INDEX('Unit Economics'!$B$18:$D$18,1,B175),"Keep","Losing money")))</f>
        <v/>
      </c>
    </row>
    <row r="176" customFormat="false" ht="15" hidden="false" customHeight="true" outlineLevel="0" collapsed="false">
      <c r="J176" s="15"/>
      <c r="K176" s="15"/>
      <c r="L176" s="15"/>
      <c r="M176" s="14" t="str">
        <f aca="false">IF(E176&gt;0,F176/E176,"")</f>
        <v/>
      </c>
      <c r="N176" s="14" t="str">
        <f aca="false">IF(G176&gt;0,I176/G176,"")</f>
        <v/>
      </c>
      <c r="O176" s="8" t="str">
        <f aca="false">IF(AND(I176&gt;0,K176&gt;0),K176/I176,"")</f>
        <v/>
      </c>
      <c r="P176" s="9" t="str">
        <f aca="false">IF(K176&gt;0,J176/K176,"")</f>
        <v/>
      </c>
      <c r="Q176" s="8" t="str">
        <f aca="false">IF(B176="","",J176-J176*INDEX('Unit Economics'!$B$10:$D$10,1,B176)-I176*INDEX('Unit Economics'!$B$11:$D$11,1,B176)-L176)</f>
        <v/>
      </c>
      <c r="R176" s="8" t="str">
        <f aca="false">IF(B176="","",Q176-K176*(1+INDEX('Unit Economics'!$B$12:$D$12,1,B176)))</f>
        <v/>
      </c>
      <c r="S176" s="3" t="str">
        <f aca="false">IF(O176="","",IF(O176&lt;=INDEX('Unit Economics'!$B$19:$D$19,1,B176),"Scale",IF(O176&lt;=INDEX('Unit Economics'!$B$18:$D$18,1,B176),"Keep","Losing money")))</f>
        <v/>
      </c>
    </row>
    <row r="177" customFormat="false" ht="15" hidden="false" customHeight="true" outlineLevel="0" collapsed="false">
      <c r="J177" s="15"/>
      <c r="K177" s="15"/>
      <c r="L177" s="15"/>
      <c r="M177" s="14" t="str">
        <f aca="false">IF(E177&gt;0,F177/E177,"")</f>
        <v/>
      </c>
      <c r="N177" s="14" t="str">
        <f aca="false">IF(G177&gt;0,I177/G177,"")</f>
        <v/>
      </c>
      <c r="O177" s="8" t="str">
        <f aca="false">IF(AND(I177&gt;0,K177&gt;0),K177/I177,"")</f>
        <v/>
      </c>
      <c r="P177" s="9" t="str">
        <f aca="false">IF(K177&gt;0,J177/K177,"")</f>
        <v/>
      </c>
      <c r="Q177" s="8" t="str">
        <f aca="false">IF(B177="","",J177-J177*INDEX('Unit Economics'!$B$10:$D$10,1,B177)-I177*INDEX('Unit Economics'!$B$11:$D$11,1,B177)-L177)</f>
        <v/>
      </c>
      <c r="R177" s="8" t="str">
        <f aca="false">IF(B177="","",Q177-K177*(1+INDEX('Unit Economics'!$B$12:$D$12,1,B177)))</f>
        <v/>
      </c>
      <c r="S177" s="3" t="str">
        <f aca="false">IF(O177="","",IF(O177&lt;=INDEX('Unit Economics'!$B$19:$D$19,1,B177),"Scale",IF(O177&lt;=INDEX('Unit Economics'!$B$18:$D$18,1,B177),"Keep","Losing money")))</f>
        <v/>
      </c>
    </row>
    <row r="178" customFormat="false" ht="15" hidden="false" customHeight="true" outlineLevel="0" collapsed="false">
      <c r="J178" s="15"/>
      <c r="K178" s="15"/>
      <c r="L178" s="15"/>
      <c r="M178" s="14" t="str">
        <f aca="false">IF(E178&gt;0,F178/E178,"")</f>
        <v/>
      </c>
      <c r="N178" s="14" t="str">
        <f aca="false">IF(G178&gt;0,I178/G178,"")</f>
        <v/>
      </c>
      <c r="O178" s="8" t="str">
        <f aca="false">IF(AND(I178&gt;0,K178&gt;0),K178/I178,"")</f>
        <v/>
      </c>
      <c r="P178" s="9" t="str">
        <f aca="false">IF(K178&gt;0,J178/K178,"")</f>
        <v/>
      </c>
      <c r="Q178" s="8" t="str">
        <f aca="false">IF(B178="","",J178-J178*INDEX('Unit Economics'!$B$10:$D$10,1,B178)-I178*INDEX('Unit Economics'!$B$11:$D$11,1,B178)-L178)</f>
        <v/>
      </c>
      <c r="R178" s="8" t="str">
        <f aca="false">IF(B178="","",Q178-K178*(1+INDEX('Unit Economics'!$B$12:$D$12,1,B178)))</f>
        <v/>
      </c>
      <c r="S178" s="3" t="str">
        <f aca="false">IF(O178="","",IF(O178&lt;=INDEX('Unit Economics'!$B$19:$D$19,1,B178),"Scale",IF(O178&lt;=INDEX('Unit Economics'!$B$18:$D$18,1,B178),"Keep","Losing money")))</f>
        <v/>
      </c>
    </row>
    <row r="179" customFormat="false" ht="15" hidden="false" customHeight="true" outlineLevel="0" collapsed="false">
      <c r="J179" s="15"/>
      <c r="K179" s="15"/>
      <c r="L179" s="15"/>
      <c r="M179" s="14" t="str">
        <f aca="false">IF(E179&gt;0,F179/E179,"")</f>
        <v/>
      </c>
      <c r="N179" s="14" t="str">
        <f aca="false">IF(G179&gt;0,I179/G179,"")</f>
        <v/>
      </c>
      <c r="O179" s="8" t="str">
        <f aca="false">IF(AND(I179&gt;0,K179&gt;0),K179/I179,"")</f>
        <v/>
      </c>
      <c r="P179" s="9" t="str">
        <f aca="false">IF(K179&gt;0,J179/K179,"")</f>
        <v/>
      </c>
      <c r="Q179" s="8" t="str">
        <f aca="false">IF(B179="","",J179-J179*INDEX('Unit Economics'!$B$10:$D$10,1,B179)-I179*INDEX('Unit Economics'!$B$11:$D$11,1,B179)-L179)</f>
        <v/>
      </c>
      <c r="R179" s="8" t="str">
        <f aca="false">IF(B179="","",Q179-K179*(1+INDEX('Unit Economics'!$B$12:$D$12,1,B179)))</f>
        <v/>
      </c>
      <c r="S179" s="3" t="str">
        <f aca="false">IF(O179="","",IF(O179&lt;=INDEX('Unit Economics'!$B$19:$D$19,1,B179),"Scale",IF(O179&lt;=INDEX('Unit Economics'!$B$18:$D$18,1,B179),"Keep","Losing money")))</f>
        <v/>
      </c>
    </row>
    <row r="180" customFormat="false" ht="15" hidden="false" customHeight="true" outlineLevel="0" collapsed="false">
      <c r="J180" s="15"/>
      <c r="K180" s="15"/>
      <c r="L180" s="15"/>
      <c r="M180" s="14" t="str">
        <f aca="false">IF(E180&gt;0,F180/E180,"")</f>
        <v/>
      </c>
      <c r="N180" s="14" t="str">
        <f aca="false">IF(G180&gt;0,I180/G180,"")</f>
        <v/>
      </c>
      <c r="O180" s="8" t="str">
        <f aca="false">IF(AND(I180&gt;0,K180&gt;0),K180/I180,"")</f>
        <v/>
      </c>
      <c r="P180" s="9" t="str">
        <f aca="false">IF(K180&gt;0,J180/K180,"")</f>
        <v/>
      </c>
      <c r="Q180" s="8" t="str">
        <f aca="false">IF(B180="","",J180-J180*INDEX('Unit Economics'!$B$10:$D$10,1,B180)-I180*INDEX('Unit Economics'!$B$11:$D$11,1,B180)-L180)</f>
        <v/>
      </c>
      <c r="R180" s="8" t="str">
        <f aca="false">IF(B180="","",Q180-K180*(1+INDEX('Unit Economics'!$B$12:$D$12,1,B180)))</f>
        <v/>
      </c>
      <c r="S180" s="3" t="str">
        <f aca="false">IF(O180="","",IF(O180&lt;=INDEX('Unit Economics'!$B$19:$D$19,1,B180),"Scale",IF(O180&lt;=INDEX('Unit Economics'!$B$18:$D$18,1,B180),"Keep","Losing money")))</f>
        <v/>
      </c>
    </row>
    <row r="181" customFormat="false" ht="15" hidden="false" customHeight="true" outlineLevel="0" collapsed="false">
      <c r="J181" s="15"/>
      <c r="K181" s="15"/>
      <c r="L181" s="15"/>
      <c r="M181" s="14" t="str">
        <f aca="false">IF(E181&gt;0,F181/E181,"")</f>
        <v/>
      </c>
      <c r="N181" s="14" t="str">
        <f aca="false">IF(G181&gt;0,I181/G181,"")</f>
        <v/>
      </c>
      <c r="O181" s="8" t="str">
        <f aca="false">IF(AND(I181&gt;0,K181&gt;0),K181/I181,"")</f>
        <v/>
      </c>
      <c r="P181" s="9" t="str">
        <f aca="false">IF(K181&gt;0,J181/K181,"")</f>
        <v/>
      </c>
      <c r="Q181" s="8" t="str">
        <f aca="false">IF(B181="","",J181-J181*INDEX('Unit Economics'!$B$10:$D$10,1,B181)-I181*INDEX('Unit Economics'!$B$11:$D$11,1,B181)-L181)</f>
        <v/>
      </c>
      <c r="R181" s="8" t="str">
        <f aca="false">IF(B181="","",Q181-K181*(1+INDEX('Unit Economics'!$B$12:$D$12,1,B181)))</f>
        <v/>
      </c>
      <c r="S181" s="3" t="str">
        <f aca="false">IF(O181="","",IF(O181&lt;=INDEX('Unit Economics'!$B$19:$D$19,1,B181),"Scale",IF(O181&lt;=INDEX('Unit Economics'!$B$18:$D$18,1,B181),"Keep","Losing money")))</f>
        <v/>
      </c>
    </row>
    <row r="182" customFormat="false" ht="15" hidden="false" customHeight="true" outlineLevel="0" collapsed="false">
      <c r="J182" s="15"/>
      <c r="K182" s="15"/>
      <c r="L182" s="15"/>
      <c r="M182" s="14" t="str">
        <f aca="false">IF(E182&gt;0,F182/E182,"")</f>
        <v/>
      </c>
      <c r="N182" s="14" t="str">
        <f aca="false">IF(G182&gt;0,I182/G182,"")</f>
        <v/>
      </c>
      <c r="O182" s="8" t="str">
        <f aca="false">IF(AND(I182&gt;0,K182&gt;0),K182/I182,"")</f>
        <v/>
      </c>
      <c r="P182" s="9" t="str">
        <f aca="false">IF(K182&gt;0,J182/K182,"")</f>
        <v/>
      </c>
      <c r="Q182" s="8" t="str">
        <f aca="false">IF(B182="","",J182-J182*INDEX('Unit Economics'!$B$10:$D$10,1,B182)-I182*INDEX('Unit Economics'!$B$11:$D$11,1,B182)-L182)</f>
        <v/>
      </c>
      <c r="R182" s="8" t="str">
        <f aca="false">IF(B182="","",Q182-K182*(1+INDEX('Unit Economics'!$B$12:$D$12,1,B182)))</f>
        <v/>
      </c>
      <c r="S182" s="3" t="str">
        <f aca="false">IF(O182="","",IF(O182&lt;=INDEX('Unit Economics'!$B$19:$D$19,1,B182),"Scale",IF(O182&lt;=INDEX('Unit Economics'!$B$18:$D$18,1,B182),"Keep","Losing money")))</f>
        <v/>
      </c>
    </row>
    <row r="183" customFormat="false" ht="15" hidden="false" customHeight="true" outlineLevel="0" collapsed="false">
      <c r="J183" s="15"/>
      <c r="K183" s="15"/>
      <c r="L183" s="15"/>
      <c r="M183" s="14" t="str">
        <f aca="false">IF(E183&gt;0,F183/E183,"")</f>
        <v/>
      </c>
      <c r="N183" s="14" t="str">
        <f aca="false">IF(G183&gt;0,I183/G183,"")</f>
        <v/>
      </c>
      <c r="O183" s="8" t="str">
        <f aca="false">IF(AND(I183&gt;0,K183&gt;0),K183/I183,"")</f>
        <v/>
      </c>
      <c r="P183" s="9" t="str">
        <f aca="false">IF(K183&gt;0,J183/K183,"")</f>
        <v/>
      </c>
      <c r="Q183" s="8" t="str">
        <f aca="false">IF(B183="","",J183-J183*INDEX('Unit Economics'!$B$10:$D$10,1,B183)-I183*INDEX('Unit Economics'!$B$11:$D$11,1,B183)-L183)</f>
        <v/>
      </c>
      <c r="R183" s="8" t="str">
        <f aca="false">IF(B183="","",Q183-K183*(1+INDEX('Unit Economics'!$B$12:$D$12,1,B183)))</f>
        <v/>
      </c>
      <c r="S183" s="3" t="str">
        <f aca="false">IF(O183="","",IF(O183&lt;=INDEX('Unit Economics'!$B$19:$D$19,1,B183),"Scale",IF(O183&lt;=INDEX('Unit Economics'!$B$18:$D$18,1,B183),"Keep","Losing money")))</f>
        <v/>
      </c>
    </row>
    <row r="184" customFormat="false" ht="15" hidden="false" customHeight="true" outlineLevel="0" collapsed="false">
      <c r="J184" s="15"/>
      <c r="K184" s="15"/>
      <c r="L184" s="15"/>
      <c r="M184" s="14" t="str">
        <f aca="false">IF(E184&gt;0,F184/E184,"")</f>
        <v/>
      </c>
      <c r="N184" s="14" t="str">
        <f aca="false">IF(G184&gt;0,I184/G184,"")</f>
        <v/>
      </c>
      <c r="O184" s="8" t="str">
        <f aca="false">IF(AND(I184&gt;0,K184&gt;0),K184/I184,"")</f>
        <v/>
      </c>
      <c r="P184" s="9" t="str">
        <f aca="false">IF(K184&gt;0,J184/K184,"")</f>
        <v/>
      </c>
      <c r="Q184" s="8" t="str">
        <f aca="false">IF(B184="","",J184-J184*INDEX('Unit Economics'!$B$10:$D$10,1,B184)-I184*INDEX('Unit Economics'!$B$11:$D$11,1,B184)-L184)</f>
        <v/>
      </c>
      <c r="R184" s="8" t="str">
        <f aca="false">IF(B184="","",Q184-K184*(1+INDEX('Unit Economics'!$B$12:$D$12,1,B184)))</f>
        <v/>
      </c>
      <c r="S184" s="3" t="str">
        <f aca="false">IF(O184="","",IF(O184&lt;=INDEX('Unit Economics'!$B$19:$D$19,1,B184),"Scale",IF(O184&lt;=INDEX('Unit Economics'!$B$18:$D$18,1,B184),"Keep","Losing money")))</f>
        <v/>
      </c>
    </row>
    <row r="185" customFormat="false" ht="15" hidden="false" customHeight="true" outlineLevel="0" collapsed="false">
      <c r="J185" s="15"/>
      <c r="K185" s="15"/>
      <c r="L185" s="15"/>
      <c r="M185" s="14" t="str">
        <f aca="false">IF(E185&gt;0,F185/E185,"")</f>
        <v/>
      </c>
      <c r="N185" s="14" t="str">
        <f aca="false">IF(G185&gt;0,I185/G185,"")</f>
        <v/>
      </c>
      <c r="O185" s="8" t="str">
        <f aca="false">IF(AND(I185&gt;0,K185&gt;0),K185/I185,"")</f>
        <v/>
      </c>
      <c r="P185" s="9" t="str">
        <f aca="false">IF(K185&gt;0,J185/K185,"")</f>
        <v/>
      </c>
      <c r="Q185" s="8" t="str">
        <f aca="false">IF(B185="","",J185-J185*INDEX('Unit Economics'!$B$10:$D$10,1,B185)-I185*INDEX('Unit Economics'!$B$11:$D$11,1,B185)-L185)</f>
        <v/>
      </c>
      <c r="R185" s="8" t="str">
        <f aca="false">IF(B185="","",Q185-K185*(1+INDEX('Unit Economics'!$B$12:$D$12,1,B185)))</f>
        <v/>
      </c>
      <c r="S185" s="3" t="str">
        <f aca="false">IF(O185="","",IF(O185&lt;=INDEX('Unit Economics'!$B$19:$D$19,1,B185),"Scale",IF(O185&lt;=INDEX('Unit Economics'!$B$18:$D$18,1,B185),"Keep","Losing money")))</f>
        <v/>
      </c>
    </row>
    <row r="186" customFormat="false" ht="15" hidden="false" customHeight="true" outlineLevel="0" collapsed="false">
      <c r="J186" s="15"/>
      <c r="K186" s="15"/>
      <c r="L186" s="15"/>
      <c r="M186" s="14" t="str">
        <f aca="false">IF(E186&gt;0,F186/E186,"")</f>
        <v/>
      </c>
      <c r="N186" s="14" t="str">
        <f aca="false">IF(G186&gt;0,I186/G186,"")</f>
        <v/>
      </c>
      <c r="O186" s="8" t="str">
        <f aca="false">IF(AND(I186&gt;0,K186&gt;0),K186/I186,"")</f>
        <v/>
      </c>
      <c r="P186" s="9" t="str">
        <f aca="false">IF(K186&gt;0,J186/K186,"")</f>
        <v/>
      </c>
      <c r="Q186" s="8" t="str">
        <f aca="false">IF(B186="","",J186-J186*INDEX('Unit Economics'!$B$10:$D$10,1,B186)-I186*INDEX('Unit Economics'!$B$11:$D$11,1,B186)-L186)</f>
        <v/>
      </c>
      <c r="R186" s="8" t="str">
        <f aca="false">IF(B186="","",Q186-K186*(1+INDEX('Unit Economics'!$B$12:$D$12,1,B186)))</f>
        <v/>
      </c>
      <c r="S186" s="3" t="str">
        <f aca="false">IF(O186="","",IF(O186&lt;=INDEX('Unit Economics'!$B$19:$D$19,1,B186),"Scale",IF(O186&lt;=INDEX('Unit Economics'!$B$18:$D$18,1,B186),"Keep","Losing money")))</f>
        <v/>
      </c>
    </row>
    <row r="187" customFormat="false" ht="15" hidden="false" customHeight="true" outlineLevel="0" collapsed="false">
      <c r="J187" s="15"/>
      <c r="K187" s="15"/>
      <c r="L187" s="15"/>
      <c r="M187" s="14" t="str">
        <f aca="false">IF(E187&gt;0,F187/E187,"")</f>
        <v/>
      </c>
      <c r="N187" s="14" t="str">
        <f aca="false">IF(G187&gt;0,I187/G187,"")</f>
        <v/>
      </c>
      <c r="O187" s="8" t="str">
        <f aca="false">IF(AND(I187&gt;0,K187&gt;0),K187/I187,"")</f>
        <v/>
      </c>
      <c r="P187" s="9" t="str">
        <f aca="false">IF(K187&gt;0,J187/K187,"")</f>
        <v/>
      </c>
      <c r="Q187" s="8" t="str">
        <f aca="false">IF(B187="","",J187-J187*INDEX('Unit Economics'!$B$10:$D$10,1,B187)-I187*INDEX('Unit Economics'!$B$11:$D$11,1,B187)-L187)</f>
        <v/>
      </c>
      <c r="R187" s="8" t="str">
        <f aca="false">IF(B187="","",Q187-K187*(1+INDEX('Unit Economics'!$B$12:$D$12,1,B187)))</f>
        <v/>
      </c>
      <c r="S187" s="3" t="str">
        <f aca="false">IF(O187="","",IF(O187&lt;=INDEX('Unit Economics'!$B$19:$D$19,1,B187),"Scale",IF(O187&lt;=INDEX('Unit Economics'!$B$18:$D$18,1,B187),"Keep","Losing money")))</f>
        <v/>
      </c>
    </row>
    <row r="188" customFormat="false" ht="15" hidden="false" customHeight="true" outlineLevel="0" collapsed="false">
      <c r="J188" s="15"/>
      <c r="K188" s="15"/>
      <c r="L188" s="15"/>
      <c r="M188" s="14" t="str">
        <f aca="false">IF(E188&gt;0,F188/E188,"")</f>
        <v/>
      </c>
      <c r="N188" s="14" t="str">
        <f aca="false">IF(G188&gt;0,I188/G188,"")</f>
        <v/>
      </c>
      <c r="O188" s="8" t="str">
        <f aca="false">IF(AND(I188&gt;0,K188&gt;0),K188/I188,"")</f>
        <v/>
      </c>
      <c r="P188" s="9" t="str">
        <f aca="false">IF(K188&gt;0,J188/K188,"")</f>
        <v/>
      </c>
      <c r="Q188" s="8" t="str">
        <f aca="false">IF(B188="","",J188-J188*INDEX('Unit Economics'!$B$10:$D$10,1,B188)-I188*INDEX('Unit Economics'!$B$11:$D$11,1,B188)-L188)</f>
        <v/>
      </c>
      <c r="R188" s="8" t="str">
        <f aca="false">IF(B188="","",Q188-K188*(1+INDEX('Unit Economics'!$B$12:$D$12,1,B188)))</f>
        <v/>
      </c>
      <c r="S188" s="3" t="str">
        <f aca="false">IF(O188="","",IF(O188&lt;=INDEX('Unit Economics'!$B$19:$D$19,1,B188),"Scale",IF(O188&lt;=INDEX('Unit Economics'!$B$18:$D$18,1,B188),"Keep","Losing money")))</f>
        <v/>
      </c>
    </row>
    <row r="189" customFormat="false" ht="15" hidden="false" customHeight="true" outlineLevel="0" collapsed="false">
      <c r="J189" s="15"/>
      <c r="K189" s="15"/>
      <c r="L189" s="15"/>
      <c r="M189" s="14" t="str">
        <f aca="false">IF(E189&gt;0,F189/E189,"")</f>
        <v/>
      </c>
      <c r="N189" s="14" t="str">
        <f aca="false">IF(G189&gt;0,I189/G189,"")</f>
        <v/>
      </c>
      <c r="O189" s="8" t="str">
        <f aca="false">IF(AND(I189&gt;0,K189&gt;0),K189/I189,"")</f>
        <v/>
      </c>
      <c r="P189" s="9" t="str">
        <f aca="false">IF(K189&gt;0,J189/K189,"")</f>
        <v/>
      </c>
      <c r="Q189" s="8" t="str">
        <f aca="false">IF(B189="","",J189-J189*INDEX('Unit Economics'!$B$10:$D$10,1,B189)-I189*INDEX('Unit Economics'!$B$11:$D$11,1,B189)-L189)</f>
        <v/>
      </c>
      <c r="R189" s="8" t="str">
        <f aca="false">IF(B189="","",Q189-K189*(1+INDEX('Unit Economics'!$B$12:$D$12,1,B189)))</f>
        <v/>
      </c>
      <c r="S189" s="3" t="str">
        <f aca="false">IF(O189="","",IF(O189&lt;=INDEX('Unit Economics'!$B$19:$D$19,1,B189),"Scale",IF(O189&lt;=INDEX('Unit Economics'!$B$18:$D$18,1,B189),"Keep","Losing money")))</f>
        <v/>
      </c>
    </row>
    <row r="190" customFormat="false" ht="15" hidden="false" customHeight="true" outlineLevel="0" collapsed="false">
      <c r="J190" s="15"/>
      <c r="K190" s="15"/>
      <c r="L190" s="15"/>
      <c r="M190" s="14" t="str">
        <f aca="false">IF(E190&gt;0,F190/E190,"")</f>
        <v/>
      </c>
      <c r="N190" s="14" t="str">
        <f aca="false">IF(G190&gt;0,I190/G190,"")</f>
        <v/>
      </c>
      <c r="O190" s="8" t="str">
        <f aca="false">IF(AND(I190&gt;0,K190&gt;0),K190/I190,"")</f>
        <v/>
      </c>
      <c r="P190" s="9" t="str">
        <f aca="false">IF(K190&gt;0,J190/K190,"")</f>
        <v/>
      </c>
      <c r="Q190" s="8" t="str">
        <f aca="false">IF(B190="","",J190-J190*INDEX('Unit Economics'!$B$10:$D$10,1,B190)-I190*INDEX('Unit Economics'!$B$11:$D$11,1,B190)-L190)</f>
        <v/>
      </c>
      <c r="R190" s="8" t="str">
        <f aca="false">IF(B190="","",Q190-K190*(1+INDEX('Unit Economics'!$B$12:$D$12,1,B190)))</f>
        <v/>
      </c>
      <c r="S190" s="3" t="str">
        <f aca="false">IF(O190="","",IF(O190&lt;=INDEX('Unit Economics'!$B$19:$D$19,1,B190),"Scale",IF(O190&lt;=INDEX('Unit Economics'!$B$18:$D$18,1,B190),"Keep","Losing money")))</f>
        <v/>
      </c>
    </row>
    <row r="191" customFormat="false" ht="15" hidden="false" customHeight="true" outlineLevel="0" collapsed="false">
      <c r="J191" s="15"/>
      <c r="K191" s="15"/>
      <c r="L191" s="15"/>
      <c r="M191" s="14" t="str">
        <f aca="false">IF(E191&gt;0,F191/E191,"")</f>
        <v/>
      </c>
      <c r="N191" s="14" t="str">
        <f aca="false">IF(G191&gt;0,I191/G191,"")</f>
        <v/>
      </c>
      <c r="O191" s="8" t="str">
        <f aca="false">IF(AND(I191&gt;0,K191&gt;0),K191/I191,"")</f>
        <v/>
      </c>
      <c r="P191" s="9" t="str">
        <f aca="false">IF(K191&gt;0,J191/K191,"")</f>
        <v/>
      </c>
      <c r="Q191" s="8" t="str">
        <f aca="false">IF(B191="","",J191-J191*INDEX('Unit Economics'!$B$10:$D$10,1,B191)-I191*INDEX('Unit Economics'!$B$11:$D$11,1,B191)-L191)</f>
        <v/>
      </c>
      <c r="R191" s="8" t="str">
        <f aca="false">IF(B191="","",Q191-K191*(1+INDEX('Unit Economics'!$B$12:$D$12,1,B191)))</f>
        <v/>
      </c>
      <c r="S191" s="3" t="str">
        <f aca="false">IF(O191="","",IF(O191&lt;=INDEX('Unit Economics'!$B$19:$D$19,1,B191),"Scale",IF(O191&lt;=INDEX('Unit Economics'!$B$18:$D$18,1,B191),"Keep","Losing money")))</f>
        <v/>
      </c>
    </row>
    <row r="192" customFormat="false" ht="15" hidden="false" customHeight="true" outlineLevel="0" collapsed="false">
      <c r="J192" s="15"/>
      <c r="K192" s="15"/>
      <c r="L192" s="15"/>
      <c r="M192" s="14" t="str">
        <f aca="false">IF(E192&gt;0,F192/E192,"")</f>
        <v/>
      </c>
      <c r="N192" s="14" t="str">
        <f aca="false">IF(G192&gt;0,I192/G192,"")</f>
        <v/>
      </c>
      <c r="O192" s="8" t="str">
        <f aca="false">IF(AND(I192&gt;0,K192&gt;0),K192/I192,"")</f>
        <v/>
      </c>
      <c r="P192" s="9" t="str">
        <f aca="false">IF(K192&gt;0,J192/K192,"")</f>
        <v/>
      </c>
      <c r="Q192" s="8" t="str">
        <f aca="false">IF(B192="","",J192-J192*INDEX('Unit Economics'!$B$10:$D$10,1,B192)-I192*INDEX('Unit Economics'!$B$11:$D$11,1,B192)-L192)</f>
        <v/>
      </c>
      <c r="R192" s="8" t="str">
        <f aca="false">IF(B192="","",Q192-K192*(1+INDEX('Unit Economics'!$B$12:$D$12,1,B192)))</f>
        <v/>
      </c>
      <c r="S192" s="3" t="str">
        <f aca="false">IF(O192="","",IF(O192&lt;=INDEX('Unit Economics'!$B$19:$D$19,1,B192),"Scale",IF(O192&lt;=INDEX('Unit Economics'!$B$18:$D$18,1,B192),"Keep","Losing money")))</f>
        <v/>
      </c>
    </row>
    <row r="193" customFormat="false" ht="15" hidden="false" customHeight="true" outlineLevel="0" collapsed="false">
      <c r="J193" s="15"/>
      <c r="K193" s="15"/>
      <c r="L193" s="15"/>
      <c r="M193" s="14" t="str">
        <f aca="false">IF(E193&gt;0,F193/E193,"")</f>
        <v/>
      </c>
      <c r="N193" s="14" t="str">
        <f aca="false">IF(G193&gt;0,I193/G193,"")</f>
        <v/>
      </c>
      <c r="O193" s="8" t="str">
        <f aca="false">IF(AND(I193&gt;0,K193&gt;0),K193/I193,"")</f>
        <v/>
      </c>
      <c r="P193" s="9" t="str">
        <f aca="false">IF(K193&gt;0,J193/K193,"")</f>
        <v/>
      </c>
      <c r="Q193" s="8" t="str">
        <f aca="false">IF(B193="","",J193-J193*INDEX('Unit Economics'!$B$10:$D$10,1,B193)-I193*INDEX('Unit Economics'!$B$11:$D$11,1,B193)-L193)</f>
        <v/>
      </c>
      <c r="R193" s="8" t="str">
        <f aca="false">IF(B193="","",Q193-K193*(1+INDEX('Unit Economics'!$B$12:$D$12,1,B193)))</f>
        <v/>
      </c>
      <c r="S193" s="3" t="str">
        <f aca="false">IF(O193="","",IF(O193&lt;=INDEX('Unit Economics'!$B$19:$D$19,1,B193),"Scale",IF(O193&lt;=INDEX('Unit Economics'!$B$18:$D$18,1,B193),"Keep","Losing money")))</f>
        <v/>
      </c>
    </row>
    <row r="194" customFormat="false" ht="15" hidden="false" customHeight="true" outlineLevel="0" collapsed="false">
      <c r="J194" s="15"/>
      <c r="K194" s="15"/>
      <c r="L194" s="15"/>
      <c r="M194" s="14" t="str">
        <f aca="false">IF(E194&gt;0,F194/E194,"")</f>
        <v/>
      </c>
      <c r="N194" s="14" t="str">
        <f aca="false">IF(G194&gt;0,I194/G194,"")</f>
        <v/>
      </c>
      <c r="O194" s="8" t="str">
        <f aca="false">IF(AND(I194&gt;0,K194&gt;0),K194/I194,"")</f>
        <v/>
      </c>
      <c r="P194" s="9" t="str">
        <f aca="false">IF(K194&gt;0,J194/K194,"")</f>
        <v/>
      </c>
      <c r="Q194" s="8" t="str">
        <f aca="false">IF(B194="","",J194-J194*INDEX('Unit Economics'!$B$10:$D$10,1,B194)-I194*INDEX('Unit Economics'!$B$11:$D$11,1,B194)-L194)</f>
        <v/>
      </c>
      <c r="R194" s="8" t="str">
        <f aca="false">IF(B194="","",Q194-K194*(1+INDEX('Unit Economics'!$B$12:$D$12,1,B194)))</f>
        <v/>
      </c>
      <c r="S194" s="3" t="str">
        <f aca="false">IF(O194="","",IF(O194&lt;=INDEX('Unit Economics'!$B$19:$D$19,1,B194),"Scale",IF(O194&lt;=INDEX('Unit Economics'!$B$18:$D$18,1,B194),"Keep","Losing money")))</f>
        <v/>
      </c>
    </row>
    <row r="195" customFormat="false" ht="15" hidden="false" customHeight="true" outlineLevel="0" collapsed="false">
      <c r="J195" s="15"/>
      <c r="K195" s="15"/>
      <c r="L195" s="15"/>
      <c r="M195" s="14" t="str">
        <f aca="false">IF(E195&gt;0,F195/E195,"")</f>
        <v/>
      </c>
      <c r="N195" s="14" t="str">
        <f aca="false">IF(G195&gt;0,I195/G195,"")</f>
        <v/>
      </c>
      <c r="O195" s="8" t="str">
        <f aca="false">IF(AND(I195&gt;0,K195&gt;0),K195/I195,"")</f>
        <v/>
      </c>
      <c r="P195" s="9" t="str">
        <f aca="false">IF(K195&gt;0,J195/K195,"")</f>
        <v/>
      </c>
      <c r="Q195" s="8" t="str">
        <f aca="false">IF(B195="","",J195-J195*INDEX('Unit Economics'!$B$10:$D$10,1,B195)-I195*INDEX('Unit Economics'!$B$11:$D$11,1,B195)-L195)</f>
        <v/>
      </c>
      <c r="R195" s="8" t="str">
        <f aca="false">IF(B195="","",Q195-K195*(1+INDEX('Unit Economics'!$B$12:$D$12,1,B195)))</f>
        <v/>
      </c>
      <c r="S195" s="3" t="str">
        <f aca="false">IF(O195="","",IF(O195&lt;=INDEX('Unit Economics'!$B$19:$D$19,1,B195),"Scale",IF(O195&lt;=INDEX('Unit Economics'!$B$18:$D$18,1,B195),"Keep","Losing money")))</f>
        <v/>
      </c>
    </row>
    <row r="196" customFormat="false" ht="15" hidden="false" customHeight="true" outlineLevel="0" collapsed="false">
      <c r="J196" s="15"/>
      <c r="K196" s="15"/>
      <c r="L196" s="15"/>
      <c r="M196" s="14" t="str">
        <f aca="false">IF(E196&gt;0,F196/E196,"")</f>
        <v/>
      </c>
      <c r="N196" s="14" t="str">
        <f aca="false">IF(G196&gt;0,I196/G196,"")</f>
        <v/>
      </c>
      <c r="O196" s="8" t="str">
        <f aca="false">IF(AND(I196&gt;0,K196&gt;0),K196/I196,"")</f>
        <v/>
      </c>
      <c r="P196" s="9" t="str">
        <f aca="false">IF(K196&gt;0,J196/K196,"")</f>
        <v/>
      </c>
      <c r="Q196" s="8" t="str">
        <f aca="false">IF(B196="","",J196-J196*INDEX('Unit Economics'!$B$10:$D$10,1,B196)-I196*INDEX('Unit Economics'!$B$11:$D$11,1,B196)-L196)</f>
        <v/>
      </c>
      <c r="R196" s="8" t="str">
        <f aca="false">IF(B196="","",Q196-K196*(1+INDEX('Unit Economics'!$B$12:$D$12,1,B196)))</f>
        <v/>
      </c>
      <c r="S196" s="3" t="str">
        <f aca="false">IF(O196="","",IF(O196&lt;=INDEX('Unit Economics'!$B$19:$D$19,1,B196),"Scale",IF(O196&lt;=INDEX('Unit Economics'!$B$18:$D$18,1,B196),"Keep","Losing money")))</f>
        <v/>
      </c>
    </row>
    <row r="197" customFormat="false" ht="15" hidden="false" customHeight="true" outlineLevel="0" collapsed="false">
      <c r="J197" s="15"/>
      <c r="K197" s="15"/>
      <c r="L197" s="15"/>
      <c r="M197" s="14" t="str">
        <f aca="false">IF(E197&gt;0,F197/E197,"")</f>
        <v/>
      </c>
      <c r="N197" s="14" t="str">
        <f aca="false">IF(G197&gt;0,I197/G197,"")</f>
        <v/>
      </c>
      <c r="O197" s="8" t="str">
        <f aca="false">IF(AND(I197&gt;0,K197&gt;0),K197/I197,"")</f>
        <v/>
      </c>
      <c r="P197" s="9" t="str">
        <f aca="false">IF(K197&gt;0,J197/K197,"")</f>
        <v/>
      </c>
      <c r="Q197" s="8" t="str">
        <f aca="false">IF(B197="","",J197-J197*INDEX('Unit Economics'!$B$10:$D$10,1,B197)-I197*INDEX('Unit Economics'!$B$11:$D$11,1,B197)-L197)</f>
        <v/>
      </c>
      <c r="R197" s="8" t="str">
        <f aca="false">IF(B197="","",Q197-K197*(1+INDEX('Unit Economics'!$B$12:$D$12,1,B197)))</f>
        <v/>
      </c>
      <c r="S197" s="3" t="str">
        <f aca="false">IF(O197="","",IF(O197&lt;=INDEX('Unit Economics'!$B$19:$D$19,1,B197),"Scale",IF(O197&lt;=INDEX('Unit Economics'!$B$18:$D$18,1,B197),"Keep","Losing money")))</f>
        <v/>
      </c>
    </row>
    <row r="198" customFormat="false" ht="15" hidden="false" customHeight="true" outlineLevel="0" collapsed="false">
      <c r="J198" s="15"/>
      <c r="K198" s="15"/>
      <c r="L198" s="15"/>
      <c r="M198" s="14" t="str">
        <f aca="false">IF(E198&gt;0,F198/E198,"")</f>
        <v/>
      </c>
      <c r="N198" s="14" t="str">
        <f aca="false">IF(G198&gt;0,I198/G198,"")</f>
        <v/>
      </c>
      <c r="O198" s="8" t="str">
        <f aca="false">IF(AND(I198&gt;0,K198&gt;0),K198/I198,"")</f>
        <v/>
      </c>
      <c r="P198" s="9" t="str">
        <f aca="false">IF(K198&gt;0,J198/K198,"")</f>
        <v/>
      </c>
      <c r="Q198" s="8" t="str">
        <f aca="false">IF(B198="","",J198-J198*INDEX('Unit Economics'!$B$10:$D$10,1,B198)-I198*INDEX('Unit Economics'!$B$11:$D$11,1,B198)-L198)</f>
        <v/>
      </c>
      <c r="R198" s="8" t="str">
        <f aca="false">IF(B198="","",Q198-K198*(1+INDEX('Unit Economics'!$B$12:$D$12,1,B198)))</f>
        <v/>
      </c>
      <c r="S198" s="3" t="str">
        <f aca="false">IF(O198="","",IF(O198&lt;=INDEX('Unit Economics'!$B$19:$D$19,1,B198),"Scale",IF(O198&lt;=INDEX('Unit Economics'!$B$18:$D$18,1,B198),"Keep","Losing money")))</f>
        <v/>
      </c>
    </row>
    <row r="199" customFormat="false" ht="15" hidden="false" customHeight="true" outlineLevel="0" collapsed="false">
      <c r="J199" s="15"/>
      <c r="K199" s="15"/>
      <c r="L199" s="15"/>
      <c r="M199" s="14" t="str">
        <f aca="false">IF(E199&gt;0,F199/E199,"")</f>
        <v/>
      </c>
      <c r="N199" s="14" t="str">
        <f aca="false">IF(G199&gt;0,I199/G199,"")</f>
        <v/>
      </c>
      <c r="O199" s="8" t="str">
        <f aca="false">IF(AND(I199&gt;0,K199&gt;0),K199/I199,"")</f>
        <v/>
      </c>
      <c r="P199" s="9" t="str">
        <f aca="false">IF(K199&gt;0,J199/K199,"")</f>
        <v/>
      </c>
      <c r="Q199" s="8" t="str">
        <f aca="false">IF(B199="","",J199-J199*INDEX('Unit Economics'!$B$10:$D$10,1,B199)-I199*INDEX('Unit Economics'!$B$11:$D$11,1,B199)-L199)</f>
        <v/>
      </c>
      <c r="R199" s="8" t="str">
        <f aca="false">IF(B199="","",Q199-K199*(1+INDEX('Unit Economics'!$B$12:$D$12,1,B199)))</f>
        <v/>
      </c>
      <c r="S199" s="3" t="str">
        <f aca="false">IF(O199="","",IF(O199&lt;=INDEX('Unit Economics'!$B$19:$D$19,1,B199),"Scale",IF(O199&lt;=INDEX('Unit Economics'!$B$18:$D$18,1,B199),"Keep","Losing money")))</f>
        <v/>
      </c>
    </row>
    <row r="200" customFormat="false" ht="15" hidden="false" customHeight="true" outlineLevel="0" collapsed="false">
      <c r="J200" s="15"/>
      <c r="K200" s="15"/>
      <c r="L200" s="15"/>
      <c r="M200" s="14" t="str">
        <f aca="false">IF(E200&gt;0,F200/E200,"")</f>
        <v/>
      </c>
      <c r="N200" s="14" t="str">
        <f aca="false">IF(G200&gt;0,I200/G200,"")</f>
        <v/>
      </c>
      <c r="O200" s="8" t="str">
        <f aca="false">IF(AND(I200&gt;0,K200&gt;0),K200/I200,"")</f>
        <v/>
      </c>
      <c r="P200" s="9" t="str">
        <f aca="false">IF(K200&gt;0,J200/K200,"")</f>
        <v/>
      </c>
      <c r="Q200" s="8" t="str">
        <f aca="false">IF(B200="","",J200-J200*INDEX('Unit Economics'!$B$10:$D$10,1,B200)-I200*INDEX('Unit Economics'!$B$11:$D$11,1,B200)-L200)</f>
        <v/>
      </c>
      <c r="R200" s="8" t="str">
        <f aca="false">IF(B200="","",Q200-K200*(1+INDEX('Unit Economics'!$B$12:$D$12,1,B200)))</f>
        <v/>
      </c>
      <c r="S200" s="3" t="str">
        <f aca="false">IF(O200="","",IF(O200&lt;=INDEX('Unit Economics'!$B$19:$D$19,1,B200),"Scale",IF(O200&lt;=INDEX('Unit Economics'!$B$18:$D$18,1,B200),"Keep","Losing money")))</f>
        <v/>
      </c>
    </row>
    <row r="201" customFormat="false" ht="15" hidden="false" customHeight="true" outlineLevel="0" collapsed="false">
      <c r="J201" s="15"/>
      <c r="K201" s="15"/>
      <c r="L201" s="15"/>
      <c r="M201" s="14" t="str">
        <f aca="false">IF(E201&gt;0,F201/E201,"")</f>
        <v/>
      </c>
      <c r="N201" s="14" t="str">
        <f aca="false">IF(G201&gt;0,I201/G201,"")</f>
        <v/>
      </c>
      <c r="O201" s="8" t="str">
        <f aca="false">IF(AND(I201&gt;0,K201&gt;0),K201/I201,"")</f>
        <v/>
      </c>
      <c r="P201" s="9" t="str">
        <f aca="false">IF(K201&gt;0,J201/K201,"")</f>
        <v/>
      </c>
      <c r="Q201" s="8" t="str">
        <f aca="false">IF(B201="","",J201-J201*INDEX('Unit Economics'!$B$10:$D$10,1,B201)-I201*INDEX('Unit Economics'!$B$11:$D$11,1,B201)-L201)</f>
        <v/>
      </c>
      <c r="R201" s="8" t="str">
        <f aca="false">IF(B201="","",Q201-K201*(1+INDEX('Unit Economics'!$B$12:$D$12,1,B201)))</f>
        <v/>
      </c>
      <c r="S201" s="3" t="str">
        <f aca="false">IF(O201="","",IF(O201&lt;=INDEX('Unit Economics'!$B$19:$D$19,1,B201),"Scale",IF(O201&lt;=INDEX('Unit Economics'!$B$18:$D$18,1,B201),"Keep","Losing money")))</f>
        <v/>
      </c>
    </row>
    <row r="202" customFormat="false" ht="15" hidden="false" customHeight="true" outlineLevel="0" collapsed="false">
      <c r="J202" s="15"/>
      <c r="K202" s="15"/>
      <c r="L202" s="15"/>
      <c r="M202" s="14" t="str">
        <f aca="false">IF(E202&gt;0,F202/E202,"")</f>
        <v/>
      </c>
      <c r="N202" s="14" t="str">
        <f aca="false">IF(G202&gt;0,I202/G202,"")</f>
        <v/>
      </c>
      <c r="O202" s="8" t="str">
        <f aca="false">IF(AND(I202&gt;0,K202&gt;0),K202/I202,"")</f>
        <v/>
      </c>
      <c r="P202" s="9" t="str">
        <f aca="false">IF(K202&gt;0,J202/K202,"")</f>
        <v/>
      </c>
      <c r="Q202" s="8" t="str">
        <f aca="false">IF(B202="","",J202-J202*INDEX('Unit Economics'!$B$10:$D$10,1,B202)-I202*INDEX('Unit Economics'!$B$11:$D$11,1,B202)-L202)</f>
        <v/>
      </c>
      <c r="R202" s="8" t="str">
        <f aca="false">IF(B202="","",Q202-K202*(1+INDEX('Unit Economics'!$B$12:$D$12,1,B202)))</f>
        <v/>
      </c>
      <c r="S202" s="3" t="str">
        <f aca="false">IF(O202="","",IF(O202&lt;=INDEX('Unit Economics'!$B$19:$D$19,1,B202),"Scale",IF(O202&lt;=INDEX('Unit Economics'!$B$18:$D$18,1,B202),"Keep","Losing money")))</f>
        <v/>
      </c>
    </row>
    <row r="203" customFormat="false" ht="15" hidden="false" customHeight="true" outlineLevel="0" collapsed="false">
      <c r="J203" s="15"/>
      <c r="K203" s="15"/>
      <c r="L203" s="15"/>
      <c r="M203" s="14" t="str">
        <f aca="false">IF(E203&gt;0,F203/E203,"")</f>
        <v/>
      </c>
      <c r="N203" s="14" t="str">
        <f aca="false">IF(G203&gt;0,I203/G203,"")</f>
        <v/>
      </c>
      <c r="O203" s="8" t="str">
        <f aca="false">IF(AND(I203&gt;0,K203&gt;0),K203/I203,"")</f>
        <v/>
      </c>
      <c r="P203" s="9" t="str">
        <f aca="false">IF(K203&gt;0,J203/K203,"")</f>
        <v/>
      </c>
      <c r="Q203" s="8" t="str">
        <f aca="false">IF(B203="","",J203-J203*INDEX('Unit Economics'!$B$10:$D$10,1,B203)-I203*INDEX('Unit Economics'!$B$11:$D$11,1,B203)-L203)</f>
        <v/>
      </c>
      <c r="R203" s="8" t="str">
        <f aca="false">IF(B203="","",Q203-K203*(1+INDEX('Unit Economics'!$B$12:$D$12,1,B203)))</f>
        <v/>
      </c>
      <c r="S203" s="3" t="str">
        <f aca="false">IF(O203="","",IF(O203&lt;=INDEX('Unit Economics'!$B$19:$D$19,1,B203),"Scale",IF(O203&lt;=INDEX('Unit Economics'!$B$18:$D$18,1,B203),"Keep","Losing money")))</f>
        <v/>
      </c>
    </row>
    <row r="204" customFormat="false" ht="15" hidden="false" customHeight="true" outlineLevel="0" collapsed="false">
      <c r="J204" s="15"/>
      <c r="K204" s="15"/>
      <c r="L204" s="15"/>
      <c r="M204" s="14" t="str">
        <f aca="false">IF(E204&gt;0,F204/E204,"")</f>
        <v/>
      </c>
      <c r="N204" s="14" t="str">
        <f aca="false">IF(G204&gt;0,I204/G204,"")</f>
        <v/>
      </c>
      <c r="O204" s="8" t="str">
        <f aca="false">IF(AND(I204&gt;0,K204&gt;0),K204/I204,"")</f>
        <v/>
      </c>
      <c r="P204" s="9" t="str">
        <f aca="false">IF(K204&gt;0,J204/K204,"")</f>
        <v/>
      </c>
      <c r="Q204" s="8" t="str">
        <f aca="false">IF(B204="","",J204-J204*INDEX('Unit Economics'!$B$10:$D$10,1,B204)-I204*INDEX('Unit Economics'!$B$11:$D$11,1,B204)-L204)</f>
        <v/>
      </c>
      <c r="R204" s="8" t="str">
        <f aca="false">IF(B204="","",Q204-K204*(1+INDEX('Unit Economics'!$B$12:$D$12,1,B204)))</f>
        <v/>
      </c>
      <c r="S204" s="3" t="str">
        <f aca="false">IF(O204="","",IF(O204&lt;=INDEX('Unit Economics'!$B$19:$D$19,1,B204),"Scale",IF(O204&lt;=INDEX('Unit Economics'!$B$18:$D$18,1,B204),"Keep","Losing money")))</f>
        <v/>
      </c>
    </row>
    <row r="205" customFormat="false" ht="15" hidden="false" customHeight="true" outlineLevel="0" collapsed="false">
      <c r="J205" s="15"/>
      <c r="K205" s="15"/>
      <c r="L205" s="15"/>
      <c r="M205" s="14" t="str">
        <f aca="false">IF(E205&gt;0,F205/E205,"")</f>
        <v/>
      </c>
      <c r="N205" s="14" t="str">
        <f aca="false">IF(G205&gt;0,I205/G205,"")</f>
        <v/>
      </c>
      <c r="O205" s="8" t="str">
        <f aca="false">IF(AND(I205&gt;0,K205&gt;0),K205/I205,"")</f>
        <v/>
      </c>
      <c r="P205" s="9" t="str">
        <f aca="false">IF(K205&gt;0,J205/K205,"")</f>
        <v/>
      </c>
      <c r="Q205" s="8" t="str">
        <f aca="false">IF(B205="","",J205-J205*INDEX('Unit Economics'!$B$10:$D$10,1,B205)-I205*INDEX('Unit Economics'!$B$11:$D$11,1,B205)-L205)</f>
        <v/>
      </c>
      <c r="R205" s="8" t="str">
        <f aca="false">IF(B205="","",Q205-K205*(1+INDEX('Unit Economics'!$B$12:$D$12,1,B205)))</f>
        <v/>
      </c>
      <c r="S205" s="3" t="str">
        <f aca="false">IF(O205="","",IF(O205&lt;=INDEX('Unit Economics'!$B$19:$D$19,1,B205),"Scale",IF(O205&lt;=INDEX('Unit Economics'!$B$18:$D$18,1,B205),"Keep","Losing money")))</f>
        <v/>
      </c>
    </row>
    <row r="206" customFormat="false" ht="15" hidden="false" customHeight="true" outlineLevel="0" collapsed="false">
      <c r="J206" s="15"/>
      <c r="K206" s="15"/>
      <c r="L206" s="15"/>
      <c r="M206" s="14" t="str">
        <f aca="false">IF(E206&gt;0,F206/E206,"")</f>
        <v/>
      </c>
      <c r="N206" s="14" t="str">
        <f aca="false">IF(G206&gt;0,I206/G206,"")</f>
        <v/>
      </c>
      <c r="O206" s="8" t="str">
        <f aca="false">IF(AND(I206&gt;0,K206&gt;0),K206/I206,"")</f>
        <v/>
      </c>
      <c r="P206" s="9" t="str">
        <f aca="false">IF(K206&gt;0,J206/K206,"")</f>
        <v/>
      </c>
      <c r="Q206" s="8" t="str">
        <f aca="false">IF(B206="","",J206-J206*INDEX('Unit Economics'!$B$10:$D$10,1,B206)-I206*INDEX('Unit Economics'!$B$11:$D$11,1,B206)-L206)</f>
        <v/>
      </c>
      <c r="R206" s="8" t="str">
        <f aca="false">IF(B206="","",Q206-K206*(1+INDEX('Unit Economics'!$B$12:$D$12,1,B206)))</f>
        <v/>
      </c>
      <c r="S206" s="3" t="str">
        <f aca="false">IF(O206="","",IF(O206&lt;=INDEX('Unit Economics'!$B$19:$D$19,1,B206),"Scale",IF(O206&lt;=INDEX('Unit Economics'!$B$18:$D$18,1,B206),"Keep","Losing money")))</f>
        <v/>
      </c>
    </row>
    <row r="207" customFormat="false" ht="15" hidden="false" customHeight="true" outlineLevel="0" collapsed="false">
      <c r="J207" s="15"/>
      <c r="K207" s="15"/>
      <c r="L207" s="15"/>
      <c r="M207" s="14" t="str">
        <f aca="false">IF(E207&gt;0,F207/E207,"")</f>
        <v/>
      </c>
      <c r="N207" s="14" t="str">
        <f aca="false">IF(G207&gt;0,I207/G207,"")</f>
        <v/>
      </c>
      <c r="O207" s="8" t="str">
        <f aca="false">IF(AND(I207&gt;0,K207&gt;0),K207/I207,"")</f>
        <v/>
      </c>
      <c r="P207" s="9" t="str">
        <f aca="false">IF(K207&gt;0,J207/K207,"")</f>
        <v/>
      </c>
      <c r="Q207" s="8" t="str">
        <f aca="false">IF(B207="","",J207-J207*INDEX('Unit Economics'!$B$10:$D$10,1,B207)-I207*INDEX('Unit Economics'!$B$11:$D$11,1,B207)-L207)</f>
        <v/>
      </c>
      <c r="R207" s="8" t="str">
        <f aca="false">IF(B207="","",Q207-K207*(1+INDEX('Unit Economics'!$B$12:$D$12,1,B207)))</f>
        <v/>
      </c>
      <c r="S207" s="3" t="str">
        <f aca="false">IF(O207="","",IF(O207&lt;=INDEX('Unit Economics'!$B$19:$D$19,1,B207),"Scale",IF(O207&lt;=INDEX('Unit Economics'!$B$18:$D$18,1,B207),"Keep","Losing money")))</f>
        <v/>
      </c>
    </row>
    <row r="208" customFormat="false" ht="15" hidden="false" customHeight="true" outlineLevel="0" collapsed="false">
      <c r="J208" s="15"/>
      <c r="K208" s="15"/>
      <c r="L208" s="15"/>
      <c r="M208" s="14" t="str">
        <f aca="false">IF(E208&gt;0,F208/E208,"")</f>
        <v/>
      </c>
      <c r="N208" s="14" t="str">
        <f aca="false">IF(G208&gt;0,I208/G208,"")</f>
        <v/>
      </c>
      <c r="O208" s="8" t="str">
        <f aca="false">IF(AND(I208&gt;0,K208&gt;0),K208/I208,"")</f>
        <v/>
      </c>
      <c r="P208" s="9" t="str">
        <f aca="false">IF(K208&gt;0,J208/K208,"")</f>
        <v/>
      </c>
      <c r="Q208" s="8" t="str">
        <f aca="false">IF(B208="","",J208-J208*INDEX('Unit Economics'!$B$10:$D$10,1,B208)-I208*INDEX('Unit Economics'!$B$11:$D$11,1,B208)-L208)</f>
        <v/>
      </c>
      <c r="R208" s="8" t="str">
        <f aca="false">IF(B208="","",Q208-K208*(1+INDEX('Unit Economics'!$B$12:$D$12,1,B208)))</f>
        <v/>
      </c>
      <c r="S208" s="3" t="str">
        <f aca="false">IF(O208="","",IF(O208&lt;=INDEX('Unit Economics'!$B$19:$D$19,1,B208),"Scale",IF(O208&lt;=INDEX('Unit Economics'!$B$18:$D$18,1,B208),"Keep","Losing money")))</f>
        <v/>
      </c>
    </row>
    <row r="209" customFormat="false" ht="15" hidden="false" customHeight="true" outlineLevel="0" collapsed="false">
      <c r="J209" s="15"/>
      <c r="K209" s="15"/>
      <c r="L209" s="15"/>
      <c r="M209" s="14" t="str">
        <f aca="false">IF(E209&gt;0,F209/E209,"")</f>
        <v/>
      </c>
      <c r="N209" s="14" t="str">
        <f aca="false">IF(G209&gt;0,I209/G209,"")</f>
        <v/>
      </c>
      <c r="O209" s="8" t="str">
        <f aca="false">IF(AND(I209&gt;0,K209&gt;0),K209/I209,"")</f>
        <v/>
      </c>
      <c r="P209" s="9" t="str">
        <f aca="false">IF(K209&gt;0,J209/K209,"")</f>
        <v/>
      </c>
      <c r="Q209" s="8" t="str">
        <f aca="false">IF(B209="","",J209-J209*INDEX('Unit Economics'!$B$10:$D$10,1,B209)-I209*INDEX('Unit Economics'!$B$11:$D$11,1,B209)-L209)</f>
        <v/>
      </c>
      <c r="R209" s="8" t="str">
        <f aca="false">IF(B209="","",Q209-K209*(1+INDEX('Unit Economics'!$B$12:$D$12,1,B209)))</f>
        <v/>
      </c>
      <c r="S209" s="3" t="str">
        <f aca="false">IF(O209="","",IF(O209&lt;=INDEX('Unit Economics'!$B$19:$D$19,1,B209),"Scale",IF(O209&lt;=INDEX('Unit Economics'!$B$18:$D$18,1,B209),"Keep","Losing money")))</f>
        <v/>
      </c>
    </row>
    <row r="210" customFormat="false" ht="15" hidden="false" customHeight="true" outlineLevel="0" collapsed="false">
      <c r="J210" s="15"/>
      <c r="K210" s="15"/>
      <c r="L210" s="15"/>
      <c r="M210" s="14" t="str">
        <f aca="false">IF(E210&gt;0,F210/E210,"")</f>
        <v/>
      </c>
      <c r="N210" s="14" t="str">
        <f aca="false">IF(G210&gt;0,I210/G210,"")</f>
        <v/>
      </c>
      <c r="O210" s="8" t="str">
        <f aca="false">IF(AND(I210&gt;0,K210&gt;0),K210/I210,"")</f>
        <v/>
      </c>
      <c r="P210" s="9" t="str">
        <f aca="false">IF(K210&gt;0,J210/K210,"")</f>
        <v/>
      </c>
      <c r="Q210" s="8" t="str">
        <f aca="false">IF(B210="","",J210-J210*INDEX('Unit Economics'!$B$10:$D$10,1,B210)-I210*INDEX('Unit Economics'!$B$11:$D$11,1,B210)-L210)</f>
        <v/>
      </c>
      <c r="R210" s="8" t="str">
        <f aca="false">IF(B210="","",Q210-K210*(1+INDEX('Unit Economics'!$B$12:$D$12,1,B210)))</f>
        <v/>
      </c>
      <c r="S210" s="3" t="str">
        <f aca="false">IF(O210="","",IF(O210&lt;=INDEX('Unit Economics'!$B$19:$D$19,1,B210),"Scale",IF(O210&lt;=INDEX('Unit Economics'!$B$18:$D$18,1,B210),"Keep","Losing money")))</f>
        <v/>
      </c>
    </row>
    <row r="211" customFormat="false" ht="15" hidden="false" customHeight="true" outlineLevel="0" collapsed="false">
      <c r="J211" s="15"/>
      <c r="K211" s="15"/>
      <c r="L211" s="15"/>
      <c r="M211" s="14" t="str">
        <f aca="false">IF(E211&gt;0,F211/E211,"")</f>
        <v/>
      </c>
      <c r="N211" s="14" t="str">
        <f aca="false">IF(G211&gt;0,I211/G211,"")</f>
        <v/>
      </c>
      <c r="O211" s="8" t="str">
        <f aca="false">IF(AND(I211&gt;0,K211&gt;0),K211/I211,"")</f>
        <v/>
      </c>
      <c r="P211" s="9" t="str">
        <f aca="false">IF(K211&gt;0,J211/K211,"")</f>
        <v/>
      </c>
      <c r="Q211" s="8" t="str">
        <f aca="false">IF(B211="","",J211-J211*INDEX('Unit Economics'!$B$10:$D$10,1,B211)-I211*INDEX('Unit Economics'!$B$11:$D$11,1,B211)-L211)</f>
        <v/>
      </c>
      <c r="R211" s="8" t="str">
        <f aca="false">IF(B211="","",Q211-K211*(1+INDEX('Unit Economics'!$B$12:$D$12,1,B211)))</f>
        <v/>
      </c>
      <c r="S211" s="3" t="str">
        <f aca="false">IF(O211="","",IF(O211&lt;=INDEX('Unit Economics'!$B$19:$D$19,1,B211),"Scale",IF(O211&lt;=INDEX('Unit Economics'!$B$18:$D$18,1,B211),"Keep","Losing money")))</f>
        <v/>
      </c>
    </row>
    <row r="212" customFormat="false" ht="15" hidden="false" customHeight="true" outlineLevel="0" collapsed="false">
      <c r="J212" s="15"/>
      <c r="K212" s="15"/>
      <c r="L212" s="15"/>
      <c r="M212" s="14" t="str">
        <f aca="false">IF(E212&gt;0,F212/E212,"")</f>
        <v/>
      </c>
      <c r="N212" s="14" t="str">
        <f aca="false">IF(G212&gt;0,I212/G212,"")</f>
        <v/>
      </c>
      <c r="O212" s="8" t="str">
        <f aca="false">IF(AND(I212&gt;0,K212&gt;0),K212/I212,"")</f>
        <v/>
      </c>
      <c r="P212" s="9" t="str">
        <f aca="false">IF(K212&gt;0,J212/K212,"")</f>
        <v/>
      </c>
      <c r="Q212" s="8" t="str">
        <f aca="false">IF(B212="","",J212-J212*INDEX('Unit Economics'!$B$10:$D$10,1,B212)-I212*INDEX('Unit Economics'!$B$11:$D$11,1,B212)-L212)</f>
        <v/>
      </c>
      <c r="R212" s="8" t="str">
        <f aca="false">IF(B212="","",Q212-K212*(1+INDEX('Unit Economics'!$B$12:$D$12,1,B212)))</f>
        <v/>
      </c>
      <c r="S212" s="3" t="str">
        <f aca="false">IF(O212="","",IF(O212&lt;=INDEX('Unit Economics'!$B$19:$D$19,1,B212),"Scale",IF(O212&lt;=INDEX('Unit Economics'!$B$18:$D$18,1,B212),"Keep","Losing money")))</f>
        <v/>
      </c>
    </row>
    <row r="213" customFormat="false" ht="15" hidden="false" customHeight="true" outlineLevel="0" collapsed="false">
      <c r="J213" s="15"/>
      <c r="K213" s="15"/>
      <c r="L213" s="15"/>
      <c r="M213" s="14" t="str">
        <f aca="false">IF(E213&gt;0,F213/E213,"")</f>
        <v/>
      </c>
      <c r="N213" s="14" t="str">
        <f aca="false">IF(G213&gt;0,I213/G213,"")</f>
        <v/>
      </c>
      <c r="O213" s="8" t="str">
        <f aca="false">IF(AND(I213&gt;0,K213&gt;0),K213/I213,"")</f>
        <v/>
      </c>
      <c r="P213" s="9" t="str">
        <f aca="false">IF(K213&gt;0,J213/K213,"")</f>
        <v/>
      </c>
      <c r="Q213" s="8" t="str">
        <f aca="false">IF(B213="","",J213-J213*INDEX('Unit Economics'!$B$10:$D$10,1,B213)-I213*INDEX('Unit Economics'!$B$11:$D$11,1,B213)-L213)</f>
        <v/>
      </c>
      <c r="R213" s="8" t="str">
        <f aca="false">IF(B213="","",Q213-K213*(1+INDEX('Unit Economics'!$B$12:$D$12,1,B213)))</f>
        <v/>
      </c>
      <c r="S213" s="3" t="str">
        <f aca="false">IF(O213="","",IF(O213&lt;=INDEX('Unit Economics'!$B$19:$D$19,1,B213),"Scale",IF(O213&lt;=INDEX('Unit Economics'!$B$18:$D$18,1,B213),"Keep","Losing money")))</f>
        <v/>
      </c>
    </row>
    <row r="214" customFormat="false" ht="15" hidden="false" customHeight="true" outlineLevel="0" collapsed="false">
      <c r="J214" s="15"/>
      <c r="K214" s="15"/>
      <c r="L214" s="15"/>
      <c r="M214" s="14" t="str">
        <f aca="false">IF(E214&gt;0,F214/E214,"")</f>
        <v/>
      </c>
      <c r="N214" s="14" t="str">
        <f aca="false">IF(G214&gt;0,I214/G214,"")</f>
        <v/>
      </c>
      <c r="O214" s="8" t="str">
        <f aca="false">IF(AND(I214&gt;0,K214&gt;0),K214/I214,"")</f>
        <v/>
      </c>
      <c r="P214" s="9" t="str">
        <f aca="false">IF(K214&gt;0,J214/K214,"")</f>
        <v/>
      </c>
      <c r="Q214" s="8" t="str">
        <f aca="false">IF(B214="","",J214-J214*INDEX('Unit Economics'!$B$10:$D$10,1,B214)-I214*INDEX('Unit Economics'!$B$11:$D$11,1,B214)-L214)</f>
        <v/>
      </c>
      <c r="R214" s="8" t="str">
        <f aca="false">IF(B214="","",Q214-K214*(1+INDEX('Unit Economics'!$B$12:$D$12,1,B214)))</f>
        <v/>
      </c>
      <c r="S214" s="3" t="str">
        <f aca="false">IF(O214="","",IF(O214&lt;=INDEX('Unit Economics'!$B$19:$D$19,1,B214),"Scale",IF(O214&lt;=INDEX('Unit Economics'!$B$18:$D$18,1,B214),"Keep","Losing money")))</f>
        <v/>
      </c>
    </row>
    <row r="215" customFormat="false" ht="15" hidden="false" customHeight="true" outlineLevel="0" collapsed="false">
      <c r="J215" s="15"/>
      <c r="K215" s="15"/>
      <c r="L215" s="15"/>
      <c r="M215" s="14" t="str">
        <f aca="false">IF(E215&gt;0,F215/E215,"")</f>
        <v/>
      </c>
      <c r="N215" s="14" t="str">
        <f aca="false">IF(G215&gt;0,I215/G215,"")</f>
        <v/>
      </c>
      <c r="O215" s="8" t="str">
        <f aca="false">IF(AND(I215&gt;0,K215&gt;0),K215/I215,"")</f>
        <v/>
      </c>
      <c r="P215" s="9" t="str">
        <f aca="false">IF(K215&gt;0,J215/K215,"")</f>
        <v/>
      </c>
      <c r="Q215" s="8" t="str">
        <f aca="false">IF(B215="","",J215-J215*INDEX('Unit Economics'!$B$10:$D$10,1,B215)-I215*INDEX('Unit Economics'!$B$11:$D$11,1,B215)-L215)</f>
        <v/>
      </c>
      <c r="R215" s="8" t="str">
        <f aca="false">IF(B215="","",Q215-K215*(1+INDEX('Unit Economics'!$B$12:$D$12,1,B215)))</f>
        <v/>
      </c>
      <c r="S215" s="3" t="str">
        <f aca="false">IF(O215="","",IF(O215&lt;=INDEX('Unit Economics'!$B$19:$D$19,1,B215),"Scale",IF(O215&lt;=INDEX('Unit Economics'!$B$18:$D$18,1,B215),"Keep","Losing money")))</f>
        <v/>
      </c>
    </row>
    <row r="216" customFormat="false" ht="15" hidden="false" customHeight="true" outlineLevel="0" collapsed="false">
      <c r="J216" s="15"/>
      <c r="K216" s="15"/>
      <c r="L216" s="15"/>
      <c r="M216" s="14" t="str">
        <f aca="false">IF(E216&gt;0,F216/E216,"")</f>
        <v/>
      </c>
      <c r="N216" s="14" t="str">
        <f aca="false">IF(G216&gt;0,I216/G216,"")</f>
        <v/>
      </c>
      <c r="O216" s="8" t="str">
        <f aca="false">IF(AND(I216&gt;0,K216&gt;0),K216/I216,"")</f>
        <v/>
      </c>
      <c r="P216" s="9" t="str">
        <f aca="false">IF(K216&gt;0,J216/K216,"")</f>
        <v/>
      </c>
      <c r="Q216" s="8" t="str">
        <f aca="false">IF(B216="","",J216-J216*INDEX('Unit Economics'!$B$10:$D$10,1,B216)-I216*INDEX('Unit Economics'!$B$11:$D$11,1,B216)-L216)</f>
        <v/>
      </c>
      <c r="R216" s="8" t="str">
        <f aca="false">IF(B216="","",Q216-K216*(1+INDEX('Unit Economics'!$B$12:$D$12,1,B216)))</f>
        <v/>
      </c>
      <c r="S216" s="3" t="str">
        <f aca="false">IF(O216="","",IF(O216&lt;=INDEX('Unit Economics'!$B$19:$D$19,1,B216),"Scale",IF(O216&lt;=INDEX('Unit Economics'!$B$18:$D$18,1,B216),"Keep","Losing money")))</f>
        <v/>
      </c>
    </row>
    <row r="217" customFormat="false" ht="15" hidden="false" customHeight="true" outlineLevel="0" collapsed="false">
      <c r="J217" s="15"/>
      <c r="K217" s="15"/>
      <c r="L217" s="15"/>
      <c r="M217" s="14" t="str">
        <f aca="false">IF(E217&gt;0,F217/E217,"")</f>
        <v/>
      </c>
      <c r="N217" s="14" t="str">
        <f aca="false">IF(G217&gt;0,I217/G217,"")</f>
        <v/>
      </c>
      <c r="O217" s="8" t="str">
        <f aca="false">IF(AND(I217&gt;0,K217&gt;0),K217/I217,"")</f>
        <v/>
      </c>
      <c r="P217" s="9" t="str">
        <f aca="false">IF(K217&gt;0,J217/K217,"")</f>
        <v/>
      </c>
      <c r="Q217" s="8" t="str">
        <f aca="false">IF(B217="","",J217-J217*INDEX('Unit Economics'!$B$10:$D$10,1,B217)-I217*INDEX('Unit Economics'!$B$11:$D$11,1,B217)-L217)</f>
        <v/>
      </c>
      <c r="R217" s="8" t="str">
        <f aca="false">IF(B217="","",Q217-K217*(1+INDEX('Unit Economics'!$B$12:$D$12,1,B217)))</f>
        <v/>
      </c>
      <c r="S217" s="3" t="str">
        <f aca="false">IF(O217="","",IF(O217&lt;=INDEX('Unit Economics'!$B$19:$D$19,1,B217),"Scale",IF(O217&lt;=INDEX('Unit Economics'!$B$18:$D$18,1,B217),"Keep","Losing money")))</f>
        <v/>
      </c>
    </row>
    <row r="218" customFormat="false" ht="15" hidden="false" customHeight="true" outlineLevel="0" collapsed="false">
      <c r="J218" s="15"/>
      <c r="K218" s="15"/>
      <c r="L218" s="15"/>
      <c r="M218" s="14" t="str">
        <f aca="false">IF(E218&gt;0,F218/E218,"")</f>
        <v/>
      </c>
      <c r="N218" s="14" t="str">
        <f aca="false">IF(G218&gt;0,I218/G218,"")</f>
        <v/>
      </c>
      <c r="O218" s="8" t="str">
        <f aca="false">IF(AND(I218&gt;0,K218&gt;0),K218/I218,"")</f>
        <v/>
      </c>
      <c r="P218" s="9" t="str">
        <f aca="false">IF(K218&gt;0,J218/K218,"")</f>
        <v/>
      </c>
      <c r="Q218" s="8" t="str">
        <f aca="false">IF(B218="","",J218-J218*INDEX('Unit Economics'!$B$10:$D$10,1,B218)-I218*INDEX('Unit Economics'!$B$11:$D$11,1,B218)-L218)</f>
        <v/>
      </c>
      <c r="R218" s="8" t="str">
        <f aca="false">IF(B218="","",Q218-K218*(1+INDEX('Unit Economics'!$B$12:$D$12,1,B218)))</f>
        <v/>
      </c>
      <c r="S218" s="3" t="str">
        <f aca="false">IF(O218="","",IF(O218&lt;=INDEX('Unit Economics'!$B$19:$D$19,1,B218),"Scale",IF(O218&lt;=INDEX('Unit Economics'!$B$18:$D$18,1,B218),"Keep","Losing money")))</f>
        <v/>
      </c>
    </row>
    <row r="219" customFormat="false" ht="15" hidden="false" customHeight="true" outlineLevel="0" collapsed="false">
      <c r="J219" s="15"/>
      <c r="K219" s="15"/>
      <c r="L219" s="15"/>
      <c r="M219" s="14" t="str">
        <f aca="false">IF(E219&gt;0,F219/E219,"")</f>
        <v/>
      </c>
      <c r="N219" s="14" t="str">
        <f aca="false">IF(G219&gt;0,I219/G219,"")</f>
        <v/>
      </c>
      <c r="O219" s="8" t="str">
        <f aca="false">IF(AND(I219&gt;0,K219&gt;0),K219/I219,"")</f>
        <v/>
      </c>
      <c r="P219" s="9" t="str">
        <f aca="false">IF(K219&gt;0,J219/K219,"")</f>
        <v/>
      </c>
      <c r="Q219" s="8" t="str">
        <f aca="false">IF(B219="","",J219-J219*INDEX('Unit Economics'!$B$10:$D$10,1,B219)-I219*INDEX('Unit Economics'!$B$11:$D$11,1,B219)-L219)</f>
        <v/>
      </c>
      <c r="R219" s="8" t="str">
        <f aca="false">IF(B219="","",Q219-K219*(1+INDEX('Unit Economics'!$B$12:$D$12,1,B219)))</f>
        <v/>
      </c>
      <c r="S219" s="3" t="str">
        <f aca="false">IF(O219="","",IF(O219&lt;=INDEX('Unit Economics'!$B$19:$D$19,1,B219),"Scale",IF(O219&lt;=INDEX('Unit Economics'!$B$18:$D$18,1,B219),"Keep","Losing money")))</f>
        <v/>
      </c>
    </row>
    <row r="220" customFormat="false" ht="15" hidden="false" customHeight="true" outlineLevel="0" collapsed="false">
      <c r="J220" s="15"/>
      <c r="K220" s="15"/>
      <c r="L220" s="15"/>
      <c r="M220" s="14" t="str">
        <f aca="false">IF(E220&gt;0,F220/E220,"")</f>
        <v/>
      </c>
      <c r="N220" s="14" t="str">
        <f aca="false">IF(G220&gt;0,I220/G220,"")</f>
        <v/>
      </c>
      <c r="O220" s="8" t="str">
        <f aca="false">IF(AND(I220&gt;0,K220&gt;0),K220/I220,"")</f>
        <v/>
      </c>
      <c r="P220" s="9" t="str">
        <f aca="false">IF(K220&gt;0,J220/K220,"")</f>
        <v/>
      </c>
      <c r="Q220" s="8" t="str">
        <f aca="false">IF(B220="","",J220-J220*INDEX('Unit Economics'!$B$10:$D$10,1,B220)-I220*INDEX('Unit Economics'!$B$11:$D$11,1,B220)-L220)</f>
        <v/>
      </c>
      <c r="R220" s="8" t="str">
        <f aca="false">IF(B220="","",Q220-K220*(1+INDEX('Unit Economics'!$B$12:$D$12,1,B220)))</f>
        <v/>
      </c>
      <c r="S220" s="3" t="str">
        <f aca="false">IF(O220="","",IF(O220&lt;=INDEX('Unit Economics'!$B$19:$D$19,1,B220),"Scale",IF(O220&lt;=INDEX('Unit Economics'!$B$18:$D$18,1,B220),"Keep","Losing money")))</f>
        <v/>
      </c>
    </row>
    <row r="221" customFormat="false" ht="15" hidden="false" customHeight="true" outlineLevel="0" collapsed="false">
      <c r="J221" s="15"/>
      <c r="K221" s="15"/>
      <c r="L221" s="15"/>
      <c r="M221" s="14" t="str">
        <f aca="false">IF(E221&gt;0,F221/E221,"")</f>
        <v/>
      </c>
      <c r="N221" s="14" t="str">
        <f aca="false">IF(G221&gt;0,I221/G221,"")</f>
        <v/>
      </c>
      <c r="O221" s="8" t="str">
        <f aca="false">IF(AND(I221&gt;0,K221&gt;0),K221/I221,"")</f>
        <v/>
      </c>
      <c r="P221" s="9" t="str">
        <f aca="false">IF(K221&gt;0,J221/K221,"")</f>
        <v/>
      </c>
      <c r="Q221" s="8" t="str">
        <f aca="false">IF(B221="","",J221-J221*INDEX('Unit Economics'!$B$10:$D$10,1,B221)-I221*INDEX('Unit Economics'!$B$11:$D$11,1,B221)-L221)</f>
        <v/>
      </c>
      <c r="R221" s="8" t="str">
        <f aca="false">IF(B221="","",Q221-K221*(1+INDEX('Unit Economics'!$B$12:$D$12,1,B221)))</f>
        <v/>
      </c>
      <c r="S221" s="3" t="str">
        <f aca="false">IF(O221="","",IF(O221&lt;=INDEX('Unit Economics'!$B$19:$D$19,1,B221),"Scale",IF(O221&lt;=INDEX('Unit Economics'!$B$18:$D$18,1,B221),"Keep","Losing money")))</f>
        <v/>
      </c>
    </row>
    <row r="222" customFormat="false" ht="15" hidden="false" customHeight="true" outlineLevel="0" collapsed="false">
      <c r="J222" s="15"/>
      <c r="K222" s="15"/>
      <c r="L222" s="15"/>
      <c r="M222" s="14" t="str">
        <f aca="false">IF(E222&gt;0,F222/E222,"")</f>
        <v/>
      </c>
      <c r="N222" s="14" t="str">
        <f aca="false">IF(G222&gt;0,I222/G222,"")</f>
        <v/>
      </c>
      <c r="O222" s="8" t="str">
        <f aca="false">IF(AND(I222&gt;0,K222&gt;0),K222/I222,"")</f>
        <v/>
      </c>
      <c r="P222" s="9" t="str">
        <f aca="false">IF(K222&gt;0,J222/K222,"")</f>
        <v/>
      </c>
      <c r="Q222" s="8" t="str">
        <f aca="false">IF(B222="","",J222-J222*INDEX('Unit Economics'!$B$10:$D$10,1,B222)-I222*INDEX('Unit Economics'!$B$11:$D$11,1,B222)-L222)</f>
        <v/>
      </c>
      <c r="R222" s="8" t="str">
        <f aca="false">IF(B222="","",Q222-K222*(1+INDEX('Unit Economics'!$B$12:$D$12,1,B222)))</f>
        <v/>
      </c>
      <c r="S222" s="3" t="str">
        <f aca="false">IF(O222="","",IF(O222&lt;=INDEX('Unit Economics'!$B$19:$D$19,1,B222),"Scale",IF(O222&lt;=INDEX('Unit Economics'!$B$18:$D$18,1,B222),"Keep","Losing money")))</f>
        <v/>
      </c>
    </row>
    <row r="223" customFormat="false" ht="15" hidden="false" customHeight="true" outlineLevel="0" collapsed="false">
      <c r="J223" s="15"/>
      <c r="K223" s="15"/>
      <c r="L223" s="15"/>
      <c r="M223" s="14" t="str">
        <f aca="false">IF(E223&gt;0,F223/E223,"")</f>
        <v/>
      </c>
      <c r="N223" s="14" t="str">
        <f aca="false">IF(G223&gt;0,I223/G223,"")</f>
        <v/>
      </c>
      <c r="O223" s="8" t="str">
        <f aca="false">IF(AND(I223&gt;0,K223&gt;0),K223/I223,"")</f>
        <v/>
      </c>
      <c r="P223" s="9" t="str">
        <f aca="false">IF(K223&gt;0,J223/K223,"")</f>
        <v/>
      </c>
      <c r="Q223" s="8" t="str">
        <f aca="false">IF(B223="","",J223-J223*INDEX('Unit Economics'!$B$10:$D$10,1,B223)-I223*INDEX('Unit Economics'!$B$11:$D$11,1,B223)-L223)</f>
        <v/>
      </c>
      <c r="R223" s="8" t="str">
        <f aca="false">IF(B223="","",Q223-K223*(1+INDEX('Unit Economics'!$B$12:$D$12,1,B223)))</f>
        <v/>
      </c>
      <c r="S223" s="3" t="str">
        <f aca="false">IF(O223="","",IF(O223&lt;=INDEX('Unit Economics'!$B$19:$D$19,1,B223),"Scale",IF(O223&lt;=INDEX('Unit Economics'!$B$18:$D$18,1,B223),"Keep","Losing money")))</f>
        <v/>
      </c>
    </row>
    <row r="224" customFormat="false" ht="15" hidden="false" customHeight="true" outlineLevel="0" collapsed="false">
      <c r="J224" s="15"/>
      <c r="K224" s="15"/>
      <c r="L224" s="15"/>
      <c r="M224" s="14" t="str">
        <f aca="false">IF(E224&gt;0,F224/E224,"")</f>
        <v/>
      </c>
      <c r="N224" s="14" t="str">
        <f aca="false">IF(G224&gt;0,I224/G224,"")</f>
        <v/>
      </c>
      <c r="O224" s="8" t="str">
        <f aca="false">IF(AND(I224&gt;0,K224&gt;0),K224/I224,"")</f>
        <v/>
      </c>
      <c r="P224" s="9" t="str">
        <f aca="false">IF(K224&gt;0,J224/K224,"")</f>
        <v/>
      </c>
      <c r="Q224" s="8" t="str">
        <f aca="false">IF(B224="","",J224-J224*INDEX('Unit Economics'!$B$10:$D$10,1,B224)-I224*INDEX('Unit Economics'!$B$11:$D$11,1,B224)-L224)</f>
        <v/>
      </c>
      <c r="R224" s="8" t="str">
        <f aca="false">IF(B224="","",Q224-K224*(1+INDEX('Unit Economics'!$B$12:$D$12,1,B224)))</f>
        <v/>
      </c>
      <c r="S224" s="3" t="str">
        <f aca="false">IF(O224="","",IF(O224&lt;=INDEX('Unit Economics'!$B$19:$D$19,1,B224),"Scale",IF(O224&lt;=INDEX('Unit Economics'!$B$18:$D$18,1,B224),"Keep","Losing money")))</f>
        <v/>
      </c>
    </row>
    <row r="225" customFormat="false" ht="15" hidden="false" customHeight="true" outlineLevel="0" collapsed="false">
      <c r="J225" s="15"/>
      <c r="K225" s="15"/>
      <c r="L225" s="15"/>
      <c r="M225" s="14" t="str">
        <f aca="false">IF(E225&gt;0,F225/E225,"")</f>
        <v/>
      </c>
      <c r="N225" s="14" t="str">
        <f aca="false">IF(G225&gt;0,I225/G225,"")</f>
        <v/>
      </c>
      <c r="O225" s="8" t="str">
        <f aca="false">IF(AND(I225&gt;0,K225&gt;0),K225/I225,"")</f>
        <v/>
      </c>
      <c r="P225" s="9" t="str">
        <f aca="false">IF(K225&gt;0,J225/K225,"")</f>
        <v/>
      </c>
      <c r="Q225" s="8" t="str">
        <f aca="false">IF(B225="","",J225-J225*INDEX('Unit Economics'!$B$10:$D$10,1,B225)-I225*INDEX('Unit Economics'!$B$11:$D$11,1,B225)-L225)</f>
        <v/>
      </c>
      <c r="R225" s="8" t="str">
        <f aca="false">IF(B225="","",Q225-K225*(1+INDEX('Unit Economics'!$B$12:$D$12,1,B225)))</f>
        <v/>
      </c>
      <c r="S225" s="3" t="str">
        <f aca="false">IF(O225="","",IF(O225&lt;=INDEX('Unit Economics'!$B$19:$D$19,1,B225),"Scale",IF(O225&lt;=INDEX('Unit Economics'!$B$18:$D$18,1,B225),"Keep","Losing money")))</f>
        <v/>
      </c>
    </row>
    <row r="226" customFormat="false" ht="15" hidden="false" customHeight="true" outlineLevel="0" collapsed="false">
      <c r="J226" s="15"/>
      <c r="K226" s="15"/>
      <c r="L226" s="15"/>
      <c r="M226" s="14" t="str">
        <f aca="false">IF(E226&gt;0,F226/E226,"")</f>
        <v/>
      </c>
      <c r="N226" s="14" t="str">
        <f aca="false">IF(G226&gt;0,I226/G226,"")</f>
        <v/>
      </c>
      <c r="O226" s="8" t="str">
        <f aca="false">IF(AND(I226&gt;0,K226&gt;0),K226/I226,"")</f>
        <v/>
      </c>
      <c r="P226" s="9" t="str">
        <f aca="false">IF(K226&gt;0,J226/K226,"")</f>
        <v/>
      </c>
      <c r="Q226" s="8" t="str">
        <f aca="false">IF(B226="","",J226-J226*INDEX('Unit Economics'!$B$10:$D$10,1,B226)-I226*INDEX('Unit Economics'!$B$11:$D$11,1,B226)-L226)</f>
        <v/>
      </c>
      <c r="R226" s="8" t="str">
        <f aca="false">IF(B226="","",Q226-K226*(1+INDEX('Unit Economics'!$B$12:$D$12,1,B226)))</f>
        <v/>
      </c>
      <c r="S226" s="3" t="str">
        <f aca="false">IF(O226="","",IF(O226&lt;=INDEX('Unit Economics'!$B$19:$D$19,1,B226),"Scale",IF(O226&lt;=INDEX('Unit Economics'!$B$18:$D$18,1,B226),"Keep","Losing money")))</f>
        <v/>
      </c>
    </row>
    <row r="227" customFormat="false" ht="15" hidden="false" customHeight="true" outlineLevel="0" collapsed="false">
      <c r="J227" s="15"/>
      <c r="K227" s="15"/>
      <c r="L227" s="15"/>
      <c r="M227" s="14" t="str">
        <f aca="false">IF(E227&gt;0,F227/E227,"")</f>
        <v/>
      </c>
      <c r="N227" s="14" t="str">
        <f aca="false">IF(G227&gt;0,I227/G227,"")</f>
        <v/>
      </c>
      <c r="O227" s="8" t="str">
        <f aca="false">IF(AND(I227&gt;0,K227&gt;0),K227/I227,"")</f>
        <v/>
      </c>
      <c r="P227" s="9" t="str">
        <f aca="false">IF(K227&gt;0,J227/K227,"")</f>
        <v/>
      </c>
      <c r="Q227" s="8" t="str">
        <f aca="false">IF(B227="","",J227-J227*INDEX('Unit Economics'!$B$10:$D$10,1,B227)-I227*INDEX('Unit Economics'!$B$11:$D$11,1,B227)-L227)</f>
        <v/>
      </c>
      <c r="R227" s="8" t="str">
        <f aca="false">IF(B227="","",Q227-K227*(1+INDEX('Unit Economics'!$B$12:$D$12,1,B227)))</f>
        <v/>
      </c>
      <c r="S227" s="3" t="str">
        <f aca="false">IF(O227="","",IF(O227&lt;=INDEX('Unit Economics'!$B$19:$D$19,1,B227),"Scale",IF(O227&lt;=INDEX('Unit Economics'!$B$18:$D$18,1,B227),"Keep","Losing money")))</f>
        <v/>
      </c>
    </row>
    <row r="228" customFormat="false" ht="15" hidden="false" customHeight="true" outlineLevel="0" collapsed="false">
      <c r="J228" s="15"/>
      <c r="K228" s="15"/>
      <c r="L228" s="15"/>
      <c r="M228" s="14" t="str">
        <f aca="false">IF(E228&gt;0,F228/E228,"")</f>
        <v/>
      </c>
      <c r="N228" s="14" t="str">
        <f aca="false">IF(G228&gt;0,I228/G228,"")</f>
        <v/>
      </c>
      <c r="O228" s="8" t="str">
        <f aca="false">IF(AND(I228&gt;0,K228&gt;0),K228/I228,"")</f>
        <v/>
      </c>
      <c r="P228" s="9" t="str">
        <f aca="false">IF(K228&gt;0,J228/K228,"")</f>
        <v/>
      </c>
      <c r="Q228" s="8" t="str">
        <f aca="false">IF(B228="","",J228-J228*INDEX('Unit Economics'!$B$10:$D$10,1,B228)-I228*INDEX('Unit Economics'!$B$11:$D$11,1,B228)-L228)</f>
        <v/>
      </c>
      <c r="R228" s="8" t="str">
        <f aca="false">IF(B228="","",Q228-K228*(1+INDEX('Unit Economics'!$B$12:$D$12,1,B228)))</f>
        <v/>
      </c>
      <c r="S228" s="3" t="str">
        <f aca="false">IF(O228="","",IF(O228&lt;=INDEX('Unit Economics'!$B$19:$D$19,1,B228),"Scale",IF(O228&lt;=INDEX('Unit Economics'!$B$18:$D$18,1,B228),"Keep","Losing money")))</f>
        <v/>
      </c>
    </row>
    <row r="229" customFormat="false" ht="15" hidden="false" customHeight="true" outlineLevel="0" collapsed="false">
      <c r="J229" s="15"/>
      <c r="K229" s="15"/>
      <c r="L229" s="15"/>
      <c r="M229" s="14" t="str">
        <f aca="false">IF(E229&gt;0,F229/E229,"")</f>
        <v/>
      </c>
      <c r="N229" s="14" t="str">
        <f aca="false">IF(G229&gt;0,I229/G229,"")</f>
        <v/>
      </c>
      <c r="O229" s="8" t="str">
        <f aca="false">IF(AND(I229&gt;0,K229&gt;0),K229/I229,"")</f>
        <v/>
      </c>
      <c r="P229" s="9" t="str">
        <f aca="false">IF(K229&gt;0,J229/K229,"")</f>
        <v/>
      </c>
      <c r="Q229" s="8" t="str">
        <f aca="false">IF(B229="","",J229-J229*INDEX('Unit Economics'!$B$10:$D$10,1,B229)-I229*INDEX('Unit Economics'!$B$11:$D$11,1,B229)-L229)</f>
        <v/>
      </c>
      <c r="R229" s="8" t="str">
        <f aca="false">IF(B229="","",Q229-K229*(1+INDEX('Unit Economics'!$B$12:$D$12,1,B229)))</f>
        <v/>
      </c>
      <c r="S229" s="3" t="str">
        <f aca="false">IF(O229="","",IF(O229&lt;=INDEX('Unit Economics'!$B$19:$D$19,1,B229),"Scale",IF(O229&lt;=INDEX('Unit Economics'!$B$18:$D$18,1,B229),"Keep","Losing money")))</f>
        <v/>
      </c>
    </row>
    <row r="230" customFormat="false" ht="15" hidden="false" customHeight="true" outlineLevel="0" collapsed="false">
      <c r="J230" s="15"/>
      <c r="K230" s="15"/>
      <c r="L230" s="15"/>
      <c r="M230" s="14" t="str">
        <f aca="false">IF(E230&gt;0,F230/E230,"")</f>
        <v/>
      </c>
      <c r="N230" s="14" t="str">
        <f aca="false">IF(G230&gt;0,I230/G230,"")</f>
        <v/>
      </c>
      <c r="O230" s="8" t="str">
        <f aca="false">IF(AND(I230&gt;0,K230&gt;0),K230/I230,"")</f>
        <v/>
      </c>
      <c r="P230" s="9" t="str">
        <f aca="false">IF(K230&gt;0,J230/K230,"")</f>
        <v/>
      </c>
      <c r="Q230" s="8" t="str">
        <f aca="false">IF(B230="","",J230-J230*INDEX('Unit Economics'!$B$10:$D$10,1,B230)-I230*INDEX('Unit Economics'!$B$11:$D$11,1,B230)-L230)</f>
        <v/>
      </c>
      <c r="R230" s="8" t="str">
        <f aca="false">IF(B230="","",Q230-K230*(1+INDEX('Unit Economics'!$B$12:$D$12,1,B230)))</f>
        <v/>
      </c>
      <c r="S230" s="3" t="str">
        <f aca="false">IF(O230="","",IF(O230&lt;=INDEX('Unit Economics'!$B$19:$D$19,1,B230),"Scale",IF(O230&lt;=INDEX('Unit Economics'!$B$18:$D$18,1,B230),"Keep","Losing money")))</f>
        <v/>
      </c>
    </row>
    <row r="231" customFormat="false" ht="15" hidden="false" customHeight="true" outlineLevel="0" collapsed="false">
      <c r="J231" s="15"/>
      <c r="K231" s="15"/>
      <c r="L231" s="15"/>
      <c r="M231" s="14" t="str">
        <f aca="false">IF(E231&gt;0,F231/E231,"")</f>
        <v/>
      </c>
      <c r="N231" s="14" t="str">
        <f aca="false">IF(G231&gt;0,I231/G231,"")</f>
        <v/>
      </c>
      <c r="O231" s="8" t="str">
        <f aca="false">IF(AND(I231&gt;0,K231&gt;0),K231/I231,"")</f>
        <v/>
      </c>
      <c r="P231" s="9" t="str">
        <f aca="false">IF(K231&gt;0,J231/K231,"")</f>
        <v/>
      </c>
      <c r="Q231" s="8" t="str">
        <f aca="false">IF(B231="","",J231-J231*INDEX('Unit Economics'!$B$10:$D$10,1,B231)-I231*INDEX('Unit Economics'!$B$11:$D$11,1,B231)-L231)</f>
        <v/>
      </c>
      <c r="R231" s="8" t="str">
        <f aca="false">IF(B231="","",Q231-K231*(1+INDEX('Unit Economics'!$B$12:$D$12,1,B231)))</f>
        <v/>
      </c>
      <c r="S231" s="3" t="str">
        <f aca="false">IF(O231="","",IF(O231&lt;=INDEX('Unit Economics'!$B$19:$D$19,1,B231),"Scale",IF(O231&lt;=INDEX('Unit Economics'!$B$18:$D$18,1,B231),"Keep","Losing money")))</f>
        <v/>
      </c>
    </row>
    <row r="232" customFormat="false" ht="15" hidden="false" customHeight="true" outlineLevel="0" collapsed="false">
      <c r="J232" s="15"/>
      <c r="K232" s="15"/>
      <c r="L232" s="15"/>
      <c r="M232" s="14" t="str">
        <f aca="false">IF(E232&gt;0,F232/E232,"")</f>
        <v/>
      </c>
      <c r="N232" s="14" t="str">
        <f aca="false">IF(G232&gt;0,I232/G232,"")</f>
        <v/>
      </c>
      <c r="O232" s="8" t="str">
        <f aca="false">IF(AND(I232&gt;0,K232&gt;0),K232/I232,"")</f>
        <v/>
      </c>
      <c r="P232" s="9" t="str">
        <f aca="false">IF(K232&gt;0,J232/K232,"")</f>
        <v/>
      </c>
      <c r="Q232" s="8" t="str">
        <f aca="false">IF(B232="","",J232-J232*INDEX('Unit Economics'!$B$10:$D$10,1,B232)-I232*INDEX('Unit Economics'!$B$11:$D$11,1,B232)-L232)</f>
        <v/>
      </c>
      <c r="R232" s="8" t="str">
        <f aca="false">IF(B232="","",Q232-K232*(1+INDEX('Unit Economics'!$B$12:$D$12,1,B232)))</f>
        <v/>
      </c>
      <c r="S232" s="3" t="str">
        <f aca="false">IF(O232="","",IF(O232&lt;=INDEX('Unit Economics'!$B$19:$D$19,1,B232),"Scale",IF(O232&lt;=INDEX('Unit Economics'!$B$18:$D$18,1,B232),"Keep","Losing money")))</f>
        <v/>
      </c>
    </row>
    <row r="233" customFormat="false" ht="15" hidden="false" customHeight="true" outlineLevel="0" collapsed="false">
      <c r="J233" s="15"/>
      <c r="K233" s="15"/>
      <c r="L233" s="15"/>
      <c r="M233" s="14" t="str">
        <f aca="false">IF(E233&gt;0,F233/E233,"")</f>
        <v/>
      </c>
      <c r="N233" s="14" t="str">
        <f aca="false">IF(G233&gt;0,I233/G233,"")</f>
        <v/>
      </c>
      <c r="O233" s="8" t="str">
        <f aca="false">IF(AND(I233&gt;0,K233&gt;0),K233/I233,"")</f>
        <v/>
      </c>
      <c r="P233" s="9" t="str">
        <f aca="false">IF(K233&gt;0,J233/K233,"")</f>
        <v/>
      </c>
      <c r="Q233" s="8" t="str">
        <f aca="false">IF(B233="","",J233-J233*INDEX('Unit Economics'!$B$10:$D$10,1,B233)-I233*INDEX('Unit Economics'!$B$11:$D$11,1,B233)-L233)</f>
        <v/>
      </c>
      <c r="R233" s="8" t="str">
        <f aca="false">IF(B233="","",Q233-K233*(1+INDEX('Unit Economics'!$B$12:$D$12,1,B233)))</f>
        <v/>
      </c>
      <c r="S233" s="3" t="str">
        <f aca="false">IF(O233="","",IF(O233&lt;=INDEX('Unit Economics'!$B$19:$D$19,1,B233),"Scale",IF(O233&lt;=INDEX('Unit Economics'!$B$18:$D$18,1,B233),"Keep","Losing money")))</f>
        <v/>
      </c>
    </row>
    <row r="234" customFormat="false" ht="15" hidden="false" customHeight="true" outlineLevel="0" collapsed="false">
      <c r="J234" s="15"/>
      <c r="K234" s="15"/>
      <c r="L234" s="15"/>
      <c r="M234" s="14" t="str">
        <f aca="false">IF(E234&gt;0,F234/E234,"")</f>
        <v/>
      </c>
      <c r="N234" s="14" t="str">
        <f aca="false">IF(G234&gt;0,I234/G234,"")</f>
        <v/>
      </c>
      <c r="O234" s="8" t="str">
        <f aca="false">IF(AND(I234&gt;0,K234&gt;0),K234/I234,"")</f>
        <v/>
      </c>
      <c r="P234" s="9" t="str">
        <f aca="false">IF(K234&gt;0,J234/K234,"")</f>
        <v/>
      </c>
      <c r="Q234" s="8" t="str">
        <f aca="false">IF(B234="","",J234-J234*INDEX('Unit Economics'!$B$10:$D$10,1,B234)-I234*INDEX('Unit Economics'!$B$11:$D$11,1,B234)-L234)</f>
        <v/>
      </c>
      <c r="R234" s="8" t="str">
        <f aca="false">IF(B234="","",Q234-K234*(1+INDEX('Unit Economics'!$B$12:$D$12,1,B234)))</f>
        <v/>
      </c>
      <c r="S234" s="3" t="str">
        <f aca="false">IF(O234="","",IF(O234&lt;=INDEX('Unit Economics'!$B$19:$D$19,1,B234),"Scale",IF(O234&lt;=INDEX('Unit Economics'!$B$18:$D$18,1,B234),"Keep","Losing money")))</f>
        <v/>
      </c>
    </row>
    <row r="235" customFormat="false" ht="15" hidden="false" customHeight="true" outlineLevel="0" collapsed="false">
      <c r="J235" s="15"/>
      <c r="K235" s="15"/>
      <c r="L235" s="15"/>
      <c r="M235" s="14" t="str">
        <f aca="false">IF(E235&gt;0,F235/E235,"")</f>
        <v/>
      </c>
      <c r="N235" s="14" t="str">
        <f aca="false">IF(G235&gt;0,I235/G235,"")</f>
        <v/>
      </c>
      <c r="O235" s="8" t="str">
        <f aca="false">IF(AND(I235&gt;0,K235&gt;0),K235/I235,"")</f>
        <v/>
      </c>
      <c r="P235" s="9" t="str">
        <f aca="false">IF(K235&gt;0,J235/K235,"")</f>
        <v/>
      </c>
      <c r="Q235" s="8" t="str">
        <f aca="false">IF(B235="","",J235-J235*INDEX('Unit Economics'!$B$10:$D$10,1,B235)-I235*INDEX('Unit Economics'!$B$11:$D$11,1,B235)-L235)</f>
        <v/>
      </c>
      <c r="R235" s="8" t="str">
        <f aca="false">IF(B235="","",Q235-K235*(1+INDEX('Unit Economics'!$B$12:$D$12,1,B235)))</f>
        <v/>
      </c>
      <c r="S235" s="3" t="str">
        <f aca="false">IF(O235="","",IF(O235&lt;=INDEX('Unit Economics'!$B$19:$D$19,1,B235),"Scale",IF(O235&lt;=INDEX('Unit Economics'!$B$18:$D$18,1,B235),"Keep","Losing money")))</f>
        <v/>
      </c>
    </row>
    <row r="236" customFormat="false" ht="15" hidden="false" customHeight="true" outlineLevel="0" collapsed="false">
      <c r="J236" s="15"/>
      <c r="K236" s="15"/>
      <c r="L236" s="15"/>
      <c r="M236" s="14" t="str">
        <f aca="false">IF(E236&gt;0,F236/E236,"")</f>
        <v/>
      </c>
      <c r="N236" s="14" t="str">
        <f aca="false">IF(G236&gt;0,I236/G236,"")</f>
        <v/>
      </c>
      <c r="O236" s="8" t="str">
        <f aca="false">IF(AND(I236&gt;0,K236&gt;0),K236/I236,"")</f>
        <v/>
      </c>
      <c r="P236" s="9" t="str">
        <f aca="false">IF(K236&gt;0,J236/K236,"")</f>
        <v/>
      </c>
      <c r="Q236" s="8" t="str">
        <f aca="false">IF(B236="","",J236-J236*INDEX('Unit Economics'!$B$10:$D$10,1,B236)-I236*INDEX('Unit Economics'!$B$11:$D$11,1,B236)-L236)</f>
        <v/>
      </c>
      <c r="R236" s="8" t="str">
        <f aca="false">IF(B236="","",Q236-K236*(1+INDEX('Unit Economics'!$B$12:$D$12,1,B236)))</f>
        <v/>
      </c>
      <c r="S236" s="3" t="str">
        <f aca="false">IF(O236="","",IF(O236&lt;=INDEX('Unit Economics'!$B$19:$D$19,1,B236),"Scale",IF(O236&lt;=INDEX('Unit Economics'!$B$18:$D$18,1,B236),"Keep","Losing money")))</f>
        <v/>
      </c>
    </row>
    <row r="237" customFormat="false" ht="15" hidden="false" customHeight="true" outlineLevel="0" collapsed="false">
      <c r="J237" s="15"/>
      <c r="K237" s="15"/>
      <c r="L237" s="15"/>
      <c r="M237" s="14" t="str">
        <f aca="false">IF(E237&gt;0,F237/E237,"")</f>
        <v/>
      </c>
      <c r="N237" s="14" t="str">
        <f aca="false">IF(G237&gt;0,I237/G237,"")</f>
        <v/>
      </c>
      <c r="O237" s="8" t="str">
        <f aca="false">IF(AND(I237&gt;0,K237&gt;0),K237/I237,"")</f>
        <v/>
      </c>
      <c r="P237" s="9" t="str">
        <f aca="false">IF(K237&gt;0,J237/K237,"")</f>
        <v/>
      </c>
      <c r="Q237" s="8" t="str">
        <f aca="false">IF(B237="","",J237-J237*INDEX('Unit Economics'!$B$10:$D$10,1,B237)-I237*INDEX('Unit Economics'!$B$11:$D$11,1,B237)-L237)</f>
        <v/>
      </c>
      <c r="R237" s="8" t="str">
        <f aca="false">IF(B237="","",Q237-K237*(1+INDEX('Unit Economics'!$B$12:$D$12,1,B237)))</f>
        <v/>
      </c>
      <c r="S237" s="3" t="str">
        <f aca="false">IF(O237="","",IF(O237&lt;=INDEX('Unit Economics'!$B$19:$D$19,1,B237),"Scale",IF(O237&lt;=INDEX('Unit Economics'!$B$18:$D$18,1,B237),"Keep","Losing money")))</f>
        <v/>
      </c>
    </row>
    <row r="238" customFormat="false" ht="15" hidden="false" customHeight="true" outlineLevel="0" collapsed="false">
      <c r="J238" s="15"/>
      <c r="K238" s="15"/>
      <c r="L238" s="15"/>
      <c r="M238" s="14" t="str">
        <f aca="false">IF(E238&gt;0,F238/E238,"")</f>
        <v/>
      </c>
      <c r="N238" s="14" t="str">
        <f aca="false">IF(G238&gt;0,I238/G238,"")</f>
        <v/>
      </c>
      <c r="O238" s="8" t="str">
        <f aca="false">IF(AND(I238&gt;0,K238&gt;0),K238/I238,"")</f>
        <v/>
      </c>
      <c r="P238" s="9" t="str">
        <f aca="false">IF(K238&gt;0,J238/K238,"")</f>
        <v/>
      </c>
      <c r="Q238" s="8" t="str">
        <f aca="false">IF(B238="","",J238-J238*INDEX('Unit Economics'!$B$10:$D$10,1,B238)-I238*INDEX('Unit Economics'!$B$11:$D$11,1,B238)-L238)</f>
        <v/>
      </c>
      <c r="R238" s="8" t="str">
        <f aca="false">IF(B238="","",Q238-K238*(1+INDEX('Unit Economics'!$B$12:$D$12,1,B238)))</f>
        <v/>
      </c>
      <c r="S238" s="3" t="str">
        <f aca="false">IF(O238="","",IF(O238&lt;=INDEX('Unit Economics'!$B$19:$D$19,1,B238),"Scale",IF(O238&lt;=INDEX('Unit Economics'!$B$18:$D$18,1,B238),"Keep","Losing money")))</f>
        <v/>
      </c>
    </row>
    <row r="239" customFormat="false" ht="15" hidden="false" customHeight="true" outlineLevel="0" collapsed="false">
      <c r="J239" s="15"/>
      <c r="K239" s="15"/>
      <c r="L239" s="15"/>
      <c r="M239" s="14" t="str">
        <f aca="false">IF(E239&gt;0,F239/E239,"")</f>
        <v/>
      </c>
      <c r="N239" s="14" t="str">
        <f aca="false">IF(G239&gt;0,I239/G239,"")</f>
        <v/>
      </c>
      <c r="O239" s="8" t="str">
        <f aca="false">IF(AND(I239&gt;0,K239&gt;0),K239/I239,"")</f>
        <v/>
      </c>
      <c r="P239" s="9" t="str">
        <f aca="false">IF(K239&gt;0,J239/K239,"")</f>
        <v/>
      </c>
      <c r="Q239" s="8" t="str">
        <f aca="false">IF(B239="","",J239-J239*INDEX('Unit Economics'!$B$10:$D$10,1,B239)-I239*INDEX('Unit Economics'!$B$11:$D$11,1,B239)-L239)</f>
        <v/>
      </c>
      <c r="R239" s="8" t="str">
        <f aca="false">IF(B239="","",Q239-K239*(1+INDEX('Unit Economics'!$B$12:$D$12,1,B239)))</f>
        <v/>
      </c>
      <c r="S239" s="3" t="str">
        <f aca="false">IF(O239="","",IF(O239&lt;=INDEX('Unit Economics'!$B$19:$D$19,1,B239),"Scale",IF(O239&lt;=INDEX('Unit Economics'!$B$18:$D$18,1,B239),"Keep","Losing money")))</f>
        <v/>
      </c>
    </row>
    <row r="240" customFormat="false" ht="15" hidden="false" customHeight="true" outlineLevel="0" collapsed="false">
      <c r="J240" s="15"/>
      <c r="K240" s="15"/>
      <c r="L240" s="15"/>
      <c r="M240" s="14" t="str">
        <f aca="false">IF(E240&gt;0,F240/E240,"")</f>
        <v/>
      </c>
      <c r="N240" s="14" t="str">
        <f aca="false">IF(G240&gt;0,I240/G240,"")</f>
        <v/>
      </c>
      <c r="O240" s="8" t="str">
        <f aca="false">IF(AND(I240&gt;0,K240&gt;0),K240/I240,"")</f>
        <v/>
      </c>
      <c r="P240" s="9" t="str">
        <f aca="false">IF(K240&gt;0,J240/K240,"")</f>
        <v/>
      </c>
      <c r="Q240" s="8" t="str">
        <f aca="false">IF(B240="","",J240-J240*INDEX('Unit Economics'!$B$10:$D$10,1,B240)-I240*INDEX('Unit Economics'!$B$11:$D$11,1,B240)-L240)</f>
        <v/>
      </c>
      <c r="R240" s="8" t="str">
        <f aca="false">IF(B240="","",Q240-K240*(1+INDEX('Unit Economics'!$B$12:$D$12,1,B240)))</f>
        <v/>
      </c>
      <c r="S240" s="3" t="str">
        <f aca="false">IF(O240="","",IF(O240&lt;=INDEX('Unit Economics'!$B$19:$D$19,1,B240),"Scale",IF(O240&lt;=INDEX('Unit Economics'!$B$18:$D$18,1,B240),"Keep","Losing money")))</f>
        <v/>
      </c>
    </row>
    <row r="241" customFormat="false" ht="15" hidden="false" customHeight="true" outlineLevel="0" collapsed="false">
      <c r="J241" s="15"/>
      <c r="K241" s="15"/>
      <c r="L241" s="15"/>
      <c r="M241" s="14" t="str">
        <f aca="false">IF(E241&gt;0,F241/E241,"")</f>
        <v/>
      </c>
      <c r="N241" s="14" t="str">
        <f aca="false">IF(G241&gt;0,I241/G241,"")</f>
        <v/>
      </c>
      <c r="O241" s="8" t="str">
        <f aca="false">IF(AND(I241&gt;0,K241&gt;0),K241/I241,"")</f>
        <v/>
      </c>
      <c r="P241" s="9" t="str">
        <f aca="false">IF(K241&gt;0,J241/K241,"")</f>
        <v/>
      </c>
      <c r="Q241" s="8" t="str">
        <f aca="false">IF(B241="","",J241-J241*INDEX('Unit Economics'!$B$10:$D$10,1,B241)-I241*INDEX('Unit Economics'!$B$11:$D$11,1,B241)-L241)</f>
        <v/>
      </c>
      <c r="R241" s="8" t="str">
        <f aca="false">IF(B241="","",Q241-K241*(1+INDEX('Unit Economics'!$B$12:$D$12,1,B241)))</f>
        <v/>
      </c>
      <c r="S241" s="3" t="str">
        <f aca="false">IF(O241="","",IF(O241&lt;=INDEX('Unit Economics'!$B$19:$D$19,1,B241),"Scale",IF(O241&lt;=INDEX('Unit Economics'!$B$18:$D$18,1,B241),"Keep","Losing money")))</f>
        <v/>
      </c>
    </row>
    <row r="242" customFormat="false" ht="15" hidden="false" customHeight="true" outlineLevel="0" collapsed="false">
      <c r="J242" s="15"/>
      <c r="K242" s="15"/>
      <c r="L242" s="15"/>
      <c r="M242" s="14" t="str">
        <f aca="false">IF(E242&gt;0,F242/E242,"")</f>
        <v/>
      </c>
      <c r="N242" s="14" t="str">
        <f aca="false">IF(G242&gt;0,I242/G242,"")</f>
        <v/>
      </c>
      <c r="O242" s="8" t="str">
        <f aca="false">IF(AND(I242&gt;0,K242&gt;0),K242/I242,"")</f>
        <v/>
      </c>
      <c r="P242" s="9" t="str">
        <f aca="false">IF(K242&gt;0,J242/K242,"")</f>
        <v/>
      </c>
      <c r="Q242" s="8" t="str">
        <f aca="false">IF(B242="","",J242-J242*INDEX('Unit Economics'!$B$10:$D$10,1,B242)-I242*INDEX('Unit Economics'!$B$11:$D$11,1,B242)-L242)</f>
        <v/>
      </c>
      <c r="R242" s="8" t="str">
        <f aca="false">IF(B242="","",Q242-K242*(1+INDEX('Unit Economics'!$B$12:$D$12,1,B242)))</f>
        <v/>
      </c>
      <c r="S242" s="3" t="str">
        <f aca="false">IF(O242="","",IF(O242&lt;=INDEX('Unit Economics'!$B$19:$D$19,1,B242),"Scale",IF(O242&lt;=INDEX('Unit Economics'!$B$18:$D$18,1,B242),"Keep","Losing money")))</f>
        <v/>
      </c>
    </row>
    <row r="243" customFormat="false" ht="15" hidden="false" customHeight="true" outlineLevel="0" collapsed="false">
      <c r="J243" s="15"/>
      <c r="K243" s="15"/>
      <c r="L243" s="15"/>
      <c r="M243" s="14" t="str">
        <f aca="false">IF(E243&gt;0,F243/E243,"")</f>
        <v/>
      </c>
      <c r="N243" s="14" t="str">
        <f aca="false">IF(G243&gt;0,I243/G243,"")</f>
        <v/>
      </c>
      <c r="O243" s="8" t="str">
        <f aca="false">IF(AND(I243&gt;0,K243&gt;0),K243/I243,"")</f>
        <v/>
      </c>
      <c r="P243" s="9" t="str">
        <f aca="false">IF(K243&gt;0,J243/K243,"")</f>
        <v/>
      </c>
      <c r="Q243" s="8" t="str">
        <f aca="false">IF(B243="","",J243-J243*INDEX('Unit Economics'!$B$10:$D$10,1,B243)-I243*INDEX('Unit Economics'!$B$11:$D$11,1,B243)-L243)</f>
        <v/>
      </c>
      <c r="R243" s="8" t="str">
        <f aca="false">IF(B243="","",Q243-K243*(1+INDEX('Unit Economics'!$B$12:$D$12,1,B243)))</f>
        <v/>
      </c>
      <c r="S243" s="3" t="str">
        <f aca="false">IF(O243="","",IF(O243&lt;=INDEX('Unit Economics'!$B$19:$D$19,1,B243),"Scale",IF(O243&lt;=INDEX('Unit Economics'!$B$18:$D$18,1,B243),"Keep","Losing money")))</f>
        <v/>
      </c>
    </row>
    <row r="244" customFormat="false" ht="15" hidden="false" customHeight="true" outlineLevel="0" collapsed="false">
      <c r="J244" s="15"/>
      <c r="K244" s="15"/>
      <c r="L244" s="15"/>
      <c r="M244" s="14" t="str">
        <f aca="false">IF(E244&gt;0,F244/E244,"")</f>
        <v/>
      </c>
      <c r="N244" s="14" t="str">
        <f aca="false">IF(G244&gt;0,I244/G244,"")</f>
        <v/>
      </c>
      <c r="O244" s="8" t="str">
        <f aca="false">IF(AND(I244&gt;0,K244&gt;0),K244/I244,"")</f>
        <v/>
      </c>
      <c r="P244" s="9" t="str">
        <f aca="false">IF(K244&gt;0,J244/K244,"")</f>
        <v/>
      </c>
      <c r="Q244" s="8" t="str">
        <f aca="false">IF(B244="","",J244-J244*INDEX('Unit Economics'!$B$10:$D$10,1,B244)-I244*INDEX('Unit Economics'!$B$11:$D$11,1,B244)-L244)</f>
        <v/>
      </c>
      <c r="R244" s="8" t="str">
        <f aca="false">IF(B244="","",Q244-K244*(1+INDEX('Unit Economics'!$B$12:$D$12,1,B244)))</f>
        <v/>
      </c>
      <c r="S244" s="3" t="str">
        <f aca="false">IF(O244="","",IF(O244&lt;=INDEX('Unit Economics'!$B$19:$D$19,1,B244),"Scale",IF(O244&lt;=INDEX('Unit Economics'!$B$18:$D$18,1,B244),"Keep","Losing money")))</f>
        <v/>
      </c>
    </row>
    <row r="245" customFormat="false" ht="15" hidden="false" customHeight="true" outlineLevel="0" collapsed="false">
      <c r="J245" s="15"/>
      <c r="K245" s="15"/>
      <c r="L245" s="15"/>
      <c r="M245" s="14" t="str">
        <f aca="false">IF(E245&gt;0,F245/E245,"")</f>
        <v/>
      </c>
      <c r="N245" s="14" t="str">
        <f aca="false">IF(G245&gt;0,I245/G245,"")</f>
        <v/>
      </c>
      <c r="O245" s="8" t="str">
        <f aca="false">IF(AND(I245&gt;0,K245&gt;0),K245/I245,"")</f>
        <v/>
      </c>
      <c r="P245" s="9" t="str">
        <f aca="false">IF(K245&gt;0,J245/K245,"")</f>
        <v/>
      </c>
      <c r="Q245" s="8" t="str">
        <f aca="false">IF(B245="","",J245-J245*INDEX('Unit Economics'!$B$10:$D$10,1,B245)-I245*INDEX('Unit Economics'!$B$11:$D$11,1,B245)-L245)</f>
        <v/>
      </c>
      <c r="R245" s="8" t="str">
        <f aca="false">IF(B245="","",Q245-K245*(1+INDEX('Unit Economics'!$B$12:$D$12,1,B245)))</f>
        <v/>
      </c>
      <c r="S245" s="3" t="str">
        <f aca="false">IF(O245="","",IF(O245&lt;=INDEX('Unit Economics'!$B$19:$D$19,1,B245),"Scale",IF(O245&lt;=INDEX('Unit Economics'!$B$18:$D$18,1,B245),"Keep","Losing money")))</f>
        <v/>
      </c>
    </row>
    <row r="246" customFormat="false" ht="15" hidden="false" customHeight="true" outlineLevel="0" collapsed="false">
      <c r="J246" s="15"/>
      <c r="K246" s="15"/>
      <c r="L246" s="15"/>
      <c r="M246" s="14" t="str">
        <f aca="false">IF(E246&gt;0,F246/E246,"")</f>
        <v/>
      </c>
      <c r="N246" s="14" t="str">
        <f aca="false">IF(G246&gt;0,I246/G246,"")</f>
        <v/>
      </c>
      <c r="O246" s="8" t="str">
        <f aca="false">IF(AND(I246&gt;0,K246&gt;0),K246/I246,"")</f>
        <v/>
      </c>
      <c r="P246" s="9" t="str">
        <f aca="false">IF(K246&gt;0,J246/K246,"")</f>
        <v/>
      </c>
      <c r="Q246" s="8" t="str">
        <f aca="false">IF(B246="","",J246-J246*INDEX('Unit Economics'!$B$10:$D$10,1,B246)-I246*INDEX('Unit Economics'!$B$11:$D$11,1,B246)-L246)</f>
        <v/>
      </c>
      <c r="R246" s="8" t="str">
        <f aca="false">IF(B246="","",Q246-K246*(1+INDEX('Unit Economics'!$B$12:$D$12,1,B246)))</f>
        <v/>
      </c>
      <c r="S246" s="3" t="str">
        <f aca="false">IF(O246="","",IF(O246&lt;=INDEX('Unit Economics'!$B$19:$D$19,1,B246),"Scale",IF(O246&lt;=INDEX('Unit Economics'!$B$18:$D$18,1,B246),"Keep","Losing money")))</f>
        <v/>
      </c>
    </row>
    <row r="247" customFormat="false" ht="15" hidden="false" customHeight="true" outlineLevel="0" collapsed="false">
      <c r="J247" s="15"/>
      <c r="K247" s="15"/>
      <c r="L247" s="15"/>
      <c r="M247" s="14" t="str">
        <f aca="false">IF(E247&gt;0,F247/E247,"")</f>
        <v/>
      </c>
      <c r="N247" s="14" t="str">
        <f aca="false">IF(G247&gt;0,I247/G247,"")</f>
        <v/>
      </c>
      <c r="O247" s="8" t="str">
        <f aca="false">IF(AND(I247&gt;0,K247&gt;0),K247/I247,"")</f>
        <v/>
      </c>
      <c r="P247" s="9" t="str">
        <f aca="false">IF(K247&gt;0,J247/K247,"")</f>
        <v/>
      </c>
      <c r="Q247" s="8" t="str">
        <f aca="false">IF(B247="","",J247-J247*INDEX('Unit Economics'!$B$10:$D$10,1,B247)-I247*INDEX('Unit Economics'!$B$11:$D$11,1,B247)-L247)</f>
        <v/>
      </c>
      <c r="R247" s="8" t="str">
        <f aca="false">IF(B247="","",Q247-K247*(1+INDEX('Unit Economics'!$B$12:$D$12,1,B247)))</f>
        <v/>
      </c>
      <c r="S247" s="3" t="str">
        <f aca="false">IF(O247="","",IF(O247&lt;=INDEX('Unit Economics'!$B$19:$D$19,1,B247),"Scale",IF(O247&lt;=INDEX('Unit Economics'!$B$18:$D$18,1,B247),"Keep","Losing money")))</f>
        <v/>
      </c>
    </row>
    <row r="248" customFormat="false" ht="15" hidden="false" customHeight="true" outlineLevel="0" collapsed="false">
      <c r="J248" s="15"/>
      <c r="K248" s="15"/>
      <c r="L248" s="15"/>
      <c r="M248" s="14" t="str">
        <f aca="false">IF(E248&gt;0,F248/E248,"")</f>
        <v/>
      </c>
      <c r="N248" s="14" t="str">
        <f aca="false">IF(G248&gt;0,I248/G248,"")</f>
        <v/>
      </c>
      <c r="O248" s="8" t="str">
        <f aca="false">IF(AND(I248&gt;0,K248&gt;0),K248/I248,"")</f>
        <v/>
      </c>
      <c r="P248" s="9" t="str">
        <f aca="false">IF(K248&gt;0,J248/K248,"")</f>
        <v/>
      </c>
      <c r="Q248" s="8" t="str">
        <f aca="false">IF(B248="","",J248-J248*INDEX('Unit Economics'!$B$10:$D$10,1,B248)-I248*INDEX('Unit Economics'!$B$11:$D$11,1,B248)-L248)</f>
        <v/>
      </c>
      <c r="R248" s="8" t="str">
        <f aca="false">IF(B248="","",Q248-K248*(1+INDEX('Unit Economics'!$B$12:$D$12,1,B248)))</f>
        <v/>
      </c>
      <c r="S248" s="3" t="str">
        <f aca="false">IF(O248="","",IF(O248&lt;=INDEX('Unit Economics'!$B$19:$D$19,1,B248),"Scale",IF(O248&lt;=INDEX('Unit Economics'!$B$18:$D$18,1,B248),"Keep","Losing money")))</f>
        <v/>
      </c>
    </row>
    <row r="249" customFormat="false" ht="15" hidden="false" customHeight="true" outlineLevel="0" collapsed="false">
      <c r="J249" s="15"/>
      <c r="K249" s="15"/>
      <c r="L249" s="15"/>
      <c r="M249" s="14" t="str">
        <f aca="false">IF(E249&gt;0,F249/E249,"")</f>
        <v/>
      </c>
      <c r="N249" s="14" t="str">
        <f aca="false">IF(G249&gt;0,I249/G249,"")</f>
        <v/>
      </c>
      <c r="O249" s="8" t="str">
        <f aca="false">IF(AND(I249&gt;0,K249&gt;0),K249/I249,"")</f>
        <v/>
      </c>
      <c r="P249" s="9" t="str">
        <f aca="false">IF(K249&gt;0,J249/K249,"")</f>
        <v/>
      </c>
      <c r="Q249" s="8" t="str">
        <f aca="false">IF(B249="","",J249-J249*INDEX('Unit Economics'!$B$10:$D$10,1,B249)-I249*INDEX('Unit Economics'!$B$11:$D$11,1,B249)-L249)</f>
        <v/>
      </c>
      <c r="R249" s="8" t="str">
        <f aca="false">IF(B249="","",Q249-K249*(1+INDEX('Unit Economics'!$B$12:$D$12,1,B249)))</f>
        <v/>
      </c>
      <c r="S249" s="3" t="str">
        <f aca="false">IF(O249="","",IF(O249&lt;=INDEX('Unit Economics'!$B$19:$D$19,1,B249),"Scale",IF(O249&lt;=INDEX('Unit Economics'!$B$18:$D$18,1,B249),"Keep","Losing money")))</f>
        <v/>
      </c>
    </row>
    <row r="250" customFormat="false" ht="15" hidden="false" customHeight="true" outlineLevel="0" collapsed="false">
      <c r="J250" s="15"/>
      <c r="K250" s="15"/>
      <c r="L250" s="15"/>
      <c r="M250" s="14" t="str">
        <f aca="false">IF(E250&gt;0,F250/E250,"")</f>
        <v/>
      </c>
      <c r="N250" s="14" t="str">
        <f aca="false">IF(G250&gt;0,I250/G250,"")</f>
        <v/>
      </c>
      <c r="O250" s="8" t="str">
        <f aca="false">IF(AND(I250&gt;0,K250&gt;0),K250/I250,"")</f>
        <v/>
      </c>
      <c r="P250" s="9" t="str">
        <f aca="false">IF(K250&gt;0,J250/K250,"")</f>
        <v/>
      </c>
      <c r="Q250" s="8" t="str">
        <f aca="false">IF(B250="","",J250-J250*INDEX('Unit Economics'!$B$10:$D$10,1,B250)-I250*INDEX('Unit Economics'!$B$11:$D$11,1,B250)-L250)</f>
        <v/>
      </c>
      <c r="R250" s="8" t="str">
        <f aca="false">IF(B250="","",Q250-K250*(1+INDEX('Unit Economics'!$B$12:$D$12,1,B250)))</f>
        <v/>
      </c>
      <c r="S250" s="3" t="str">
        <f aca="false">IF(O250="","",IF(O250&lt;=INDEX('Unit Economics'!$B$19:$D$19,1,B250),"Scale",IF(O250&lt;=INDEX('Unit Economics'!$B$18:$D$18,1,B250),"Keep","Losing money")))</f>
        <v/>
      </c>
    </row>
    <row r="251" customFormat="false" ht="15" hidden="false" customHeight="true" outlineLevel="0" collapsed="false">
      <c r="J251" s="15"/>
      <c r="K251" s="15"/>
      <c r="L251" s="15"/>
      <c r="M251" s="14" t="str">
        <f aca="false">IF(E251&gt;0,F251/E251,"")</f>
        <v/>
      </c>
      <c r="N251" s="14" t="str">
        <f aca="false">IF(G251&gt;0,I251/G251,"")</f>
        <v/>
      </c>
      <c r="O251" s="8" t="str">
        <f aca="false">IF(AND(I251&gt;0,K251&gt;0),K251/I251,"")</f>
        <v/>
      </c>
      <c r="P251" s="9" t="str">
        <f aca="false">IF(K251&gt;0,J251/K251,"")</f>
        <v/>
      </c>
      <c r="Q251" s="8" t="str">
        <f aca="false">IF(B251="","",J251-J251*INDEX('Unit Economics'!$B$10:$D$10,1,B251)-I251*INDEX('Unit Economics'!$B$11:$D$11,1,B251)-L251)</f>
        <v/>
      </c>
      <c r="R251" s="8" t="str">
        <f aca="false">IF(B251="","",Q251-K251*(1+INDEX('Unit Economics'!$B$12:$D$12,1,B251)))</f>
        <v/>
      </c>
      <c r="S251" s="3" t="str">
        <f aca="false">IF(O251="","",IF(O251&lt;=INDEX('Unit Economics'!$B$19:$D$19,1,B251),"Scale",IF(O251&lt;=INDEX('Unit Economics'!$B$18:$D$18,1,B251),"Keep","Losing money")))</f>
        <v/>
      </c>
    </row>
    <row r="252" customFormat="false" ht="15" hidden="false" customHeight="true" outlineLevel="0" collapsed="false">
      <c r="J252" s="15"/>
      <c r="K252" s="15"/>
      <c r="L252" s="15"/>
      <c r="M252" s="14" t="str">
        <f aca="false">IF(E252&gt;0,F252/E252,"")</f>
        <v/>
      </c>
      <c r="N252" s="14" t="str">
        <f aca="false">IF(G252&gt;0,I252/G252,"")</f>
        <v/>
      </c>
      <c r="O252" s="8" t="str">
        <f aca="false">IF(AND(I252&gt;0,K252&gt;0),K252/I252,"")</f>
        <v/>
      </c>
      <c r="P252" s="9" t="str">
        <f aca="false">IF(K252&gt;0,J252/K252,"")</f>
        <v/>
      </c>
      <c r="Q252" s="8" t="str">
        <f aca="false">IF(B252="","",J252-J252*INDEX('Unit Economics'!$B$10:$D$10,1,B252)-I252*INDEX('Unit Economics'!$B$11:$D$11,1,B252)-L252)</f>
        <v/>
      </c>
      <c r="R252" s="8" t="str">
        <f aca="false">IF(B252="","",Q252-K252*(1+INDEX('Unit Economics'!$B$12:$D$12,1,B252)))</f>
        <v/>
      </c>
      <c r="S252" s="3" t="str">
        <f aca="false">IF(O252="","",IF(O252&lt;=INDEX('Unit Economics'!$B$19:$D$19,1,B252),"Scale",IF(O252&lt;=INDEX('Unit Economics'!$B$18:$D$18,1,B252),"Keep","Losing money")))</f>
        <v/>
      </c>
    </row>
    <row r="253" customFormat="false" ht="15" hidden="false" customHeight="true" outlineLevel="0" collapsed="false">
      <c r="J253" s="15"/>
      <c r="K253" s="15"/>
      <c r="L253" s="15"/>
      <c r="M253" s="14" t="str">
        <f aca="false">IF(E253&gt;0,F253/E253,"")</f>
        <v/>
      </c>
      <c r="N253" s="14" t="str">
        <f aca="false">IF(G253&gt;0,I253/G253,"")</f>
        <v/>
      </c>
      <c r="O253" s="8" t="str">
        <f aca="false">IF(AND(I253&gt;0,K253&gt;0),K253/I253,"")</f>
        <v/>
      </c>
      <c r="P253" s="9" t="str">
        <f aca="false">IF(K253&gt;0,J253/K253,"")</f>
        <v/>
      </c>
      <c r="Q253" s="8" t="str">
        <f aca="false">IF(B253="","",J253-J253*INDEX('Unit Economics'!$B$10:$D$10,1,B253)-I253*INDEX('Unit Economics'!$B$11:$D$11,1,B253)-L253)</f>
        <v/>
      </c>
      <c r="R253" s="8" t="str">
        <f aca="false">IF(B253="","",Q253-K253*(1+INDEX('Unit Economics'!$B$12:$D$12,1,B253)))</f>
        <v/>
      </c>
      <c r="S253" s="3" t="str">
        <f aca="false">IF(O253="","",IF(O253&lt;=INDEX('Unit Economics'!$B$19:$D$19,1,B253),"Scale",IF(O253&lt;=INDEX('Unit Economics'!$B$18:$D$18,1,B253),"Keep","Losing money")))</f>
        <v/>
      </c>
    </row>
    <row r="254" customFormat="false" ht="15" hidden="false" customHeight="true" outlineLevel="0" collapsed="false">
      <c r="J254" s="15"/>
      <c r="K254" s="15"/>
      <c r="L254" s="15"/>
      <c r="M254" s="14" t="str">
        <f aca="false">IF(E254&gt;0,F254/E254,"")</f>
        <v/>
      </c>
      <c r="N254" s="14" t="str">
        <f aca="false">IF(G254&gt;0,I254/G254,"")</f>
        <v/>
      </c>
      <c r="O254" s="8" t="str">
        <f aca="false">IF(AND(I254&gt;0,K254&gt;0),K254/I254,"")</f>
        <v/>
      </c>
      <c r="P254" s="9" t="str">
        <f aca="false">IF(K254&gt;0,J254/K254,"")</f>
        <v/>
      </c>
      <c r="Q254" s="8" t="str">
        <f aca="false">IF(B254="","",J254-J254*INDEX('Unit Economics'!$B$10:$D$10,1,B254)-I254*INDEX('Unit Economics'!$B$11:$D$11,1,B254)-L254)</f>
        <v/>
      </c>
      <c r="R254" s="8" t="str">
        <f aca="false">IF(B254="","",Q254-K254*(1+INDEX('Unit Economics'!$B$12:$D$12,1,B254)))</f>
        <v/>
      </c>
      <c r="S254" s="3" t="str">
        <f aca="false">IF(O254="","",IF(O254&lt;=INDEX('Unit Economics'!$B$19:$D$19,1,B254),"Scale",IF(O254&lt;=INDEX('Unit Economics'!$B$18:$D$18,1,B254),"Keep","Losing money")))</f>
        <v/>
      </c>
    </row>
    <row r="255" customFormat="false" ht="15" hidden="false" customHeight="true" outlineLevel="0" collapsed="false">
      <c r="J255" s="15"/>
      <c r="K255" s="15"/>
      <c r="L255" s="15"/>
      <c r="M255" s="14" t="str">
        <f aca="false">IF(E255&gt;0,F255/E255,"")</f>
        <v/>
      </c>
      <c r="N255" s="14" t="str">
        <f aca="false">IF(G255&gt;0,I255/G255,"")</f>
        <v/>
      </c>
      <c r="O255" s="8" t="str">
        <f aca="false">IF(AND(I255&gt;0,K255&gt;0),K255/I255,"")</f>
        <v/>
      </c>
      <c r="P255" s="9" t="str">
        <f aca="false">IF(K255&gt;0,J255/K255,"")</f>
        <v/>
      </c>
      <c r="Q255" s="8" t="str">
        <f aca="false">IF(B255="","",J255-J255*INDEX('Unit Economics'!$B$10:$D$10,1,B255)-I255*INDEX('Unit Economics'!$B$11:$D$11,1,B255)-L255)</f>
        <v/>
      </c>
      <c r="R255" s="8" t="str">
        <f aca="false">IF(B255="","",Q255-K255*(1+INDEX('Unit Economics'!$B$12:$D$12,1,B255)))</f>
        <v/>
      </c>
      <c r="S255" s="3" t="str">
        <f aca="false">IF(O255="","",IF(O255&lt;=INDEX('Unit Economics'!$B$19:$D$19,1,B255),"Scale",IF(O255&lt;=INDEX('Unit Economics'!$B$18:$D$18,1,B255),"Keep","Losing money")))</f>
        <v/>
      </c>
    </row>
    <row r="256" customFormat="false" ht="15" hidden="false" customHeight="true" outlineLevel="0" collapsed="false">
      <c r="J256" s="15"/>
      <c r="K256" s="15"/>
      <c r="L256" s="15"/>
      <c r="M256" s="14" t="str">
        <f aca="false">IF(E256&gt;0,F256/E256,"")</f>
        <v/>
      </c>
      <c r="N256" s="14" t="str">
        <f aca="false">IF(G256&gt;0,I256/G256,"")</f>
        <v/>
      </c>
      <c r="O256" s="8" t="str">
        <f aca="false">IF(AND(I256&gt;0,K256&gt;0),K256/I256,"")</f>
        <v/>
      </c>
      <c r="P256" s="9" t="str">
        <f aca="false">IF(K256&gt;0,J256/K256,"")</f>
        <v/>
      </c>
      <c r="Q256" s="8" t="str">
        <f aca="false">IF(B256="","",J256-J256*INDEX('Unit Economics'!$B$10:$D$10,1,B256)-I256*INDEX('Unit Economics'!$B$11:$D$11,1,B256)-L256)</f>
        <v/>
      </c>
      <c r="R256" s="8" t="str">
        <f aca="false">IF(B256="","",Q256-K256*(1+INDEX('Unit Economics'!$B$12:$D$12,1,B256)))</f>
        <v/>
      </c>
      <c r="S256" s="3" t="str">
        <f aca="false">IF(O256="","",IF(O256&lt;=INDEX('Unit Economics'!$B$19:$D$19,1,B256),"Scale",IF(O256&lt;=INDEX('Unit Economics'!$B$18:$D$18,1,B256),"Keep","Losing money")))</f>
        <v/>
      </c>
    </row>
    <row r="257" customFormat="false" ht="15" hidden="false" customHeight="true" outlineLevel="0" collapsed="false">
      <c r="J257" s="15"/>
      <c r="K257" s="15"/>
      <c r="L257" s="15"/>
      <c r="M257" s="14" t="str">
        <f aca="false">IF(E257&gt;0,F257/E257,"")</f>
        <v/>
      </c>
      <c r="N257" s="14" t="str">
        <f aca="false">IF(G257&gt;0,I257/G257,"")</f>
        <v/>
      </c>
      <c r="O257" s="8" t="str">
        <f aca="false">IF(AND(I257&gt;0,K257&gt;0),K257/I257,"")</f>
        <v/>
      </c>
      <c r="P257" s="9" t="str">
        <f aca="false">IF(K257&gt;0,J257/K257,"")</f>
        <v/>
      </c>
      <c r="Q257" s="8" t="str">
        <f aca="false">IF(B257="","",J257-J257*INDEX('Unit Economics'!$B$10:$D$10,1,B257)-I257*INDEX('Unit Economics'!$B$11:$D$11,1,B257)-L257)</f>
        <v/>
      </c>
      <c r="R257" s="8" t="str">
        <f aca="false">IF(B257="","",Q257-K257*(1+INDEX('Unit Economics'!$B$12:$D$12,1,B257)))</f>
        <v/>
      </c>
      <c r="S257" s="3" t="str">
        <f aca="false">IF(O257="","",IF(O257&lt;=INDEX('Unit Economics'!$B$19:$D$19,1,B257),"Scale",IF(O257&lt;=INDEX('Unit Economics'!$B$18:$D$18,1,B257),"Keep","Losing money")))</f>
        <v/>
      </c>
    </row>
    <row r="258" customFormat="false" ht="15" hidden="false" customHeight="true" outlineLevel="0" collapsed="false">
      <c r="J258" s="15"/>
      <c r="K258" s="15"/>
      <c r="L258" s="15"/>
      <c r="M258" s="14" t="str">
        <f aca="false">IF(E258&gt;0,F258/E258,"")</f>
        <v/>
      </c>
      <c r="N258" s="14" t="str">
        <f aca="false">IF(G258&gt;0,I258/G258,"")</f>
        <v/>
      </c>
      <c r="O258" s="8" t="str">
        <f aca="false">IF(AND(I258&gt;0,K258&gt;0),K258/I258,"")</f>
        <v/>
      </c>
      <c r="P258" s="9" t="str">
        <f aca="false">IF(K258&gt;0,J258/K258,"")</f>
        <v/>
      </c>
      <c r="Q258" s="8" t="str">
        <f aca="false">IF(B258="","",J258-J258*INDEX('Unit Economics'!$B$10:$D$10,1,B258)-I258*INDEX('Unit Economics'!$B$11:$D$11,1,B258)-L258)</f>
        <v/>
      </c>
      <c r="R258" s="8" t="str">
        <f aca="false">IF(B258="","",Q258-K258*(1+INDEX('Unit Economics'!$B$12:$D$12,1,B258)))</f>
        <v/>
      </c>
      <c r="S258" s="3" t="str">
        <f aca="false">IF(O258="","",IF(O258&lt;=INDEX('Unit Economics'!$B$19:$D$19,1,B258),"Scale",IF(O258&lt;=INDEX('Unit Economics'!$B$18:$D$18,1,B258),"Keep","Losing money")))</f>
        <v/>
      </c>
    </row>
    <row r="259" customFormat="false" ht="15" hidden="false" customHeight="true" outlineLevel="0" collapsed="false">
      <c r="J259" s="15"/>
      <c r="K259" s="15"/>
      <c r="L259" s="15"/>
      <c r="M259" s="14" t="str">
        <f aca="false">IF(E259&gt;0,F259/E259,"")</f>
        <v/>
      </c>
      <c r="N259" s="14" t="str">
        <f aca="false">IF(G259&gt;0,I259/G259,"")</f>
        <v/>
      </c>
      <c r="O259" s="8" t="str">
        <f aca="false">IF(AND(I259&gt;0,K259&gt;0),K259/I259,"")</f>
        <v/>
      </c>
      <c r="P259" s="9" t="str">
        <f aca="false">IF(K259&gt;0,J259/K259,"")</f>
        <v/>
      </c>
      <c r="Q259" s="8" t="str">
        <f aca="false">IF(B259="","",J259-J259*INDEX('Unit Economics'!$B$10:$D$10,1,B259)-I259*INDEX('Unit Economics'!$B$11:$D$11,1,B259)-L259)</f>
        <v/>
      </c>
      <c r="R259" s="8" t="str">
        <f aca="false">IF(B259="","",Q259-K259*(1+INDEX('Unit Economics'!$B$12:$D$12,1,B259)))</f>
        <v/>
      </c>
      <c r="S259" s="3" t="str">
        <f aca="false">IF(O259="","",IF(O259&lt;=INDEX('Unit Economics'!$B$19:$D$19,1,B259),"Scale",IF(O259&lt;=INDEX('Unit Economics'!$B$18:$D$18,1,B259),"Keep","Losing money")))</f>
        <v/>
      </c>
    </row>
    <row r="260" customFormat="false" ht="15" hidden="false" customHeight="true" outlineLevel="0" collapsed="false">
      <c r="J260" s="15"/>
      <c r="K260" s="15"/>
      <c r="L260" s="15"/>
      <c r="M260" s="14" t="str">
        <f aca="false">IF(E260&gt;0,F260/E260,"")</f>
        <v/>
      </c>
      <c r="N260" s="14" t="str">
        <f aca="false">IF(G260&gt;0,I260/G260,"")</f>
        <v/>
      </c>
      <c r="O260" s="8" t="str">
        <f aca="false">IF(AND(I260&gt;0,K260&gt;0),K260/I260,"")</f>
        <v/>
      </c>
      <c r="P260" s="9" t="str">
        <f aca="false">IF(K260&gt;0,J260/K260,"")</f>
        <v/>
      </c>
      <c r="Q260" s="8" t="str">
        <f aca="false">IF(B260="","",J260-J260*INDEX('Unit Economics'!$B$10:$D$10,1,B260)-I260*INDEX('Unit Economics'!$B$11:$D$11,1,B260)-L260)</f>
        <v/>
      </c>
      <c r="R260" s="8" t="str">
        <f aca="false">IF(B260="","",Q260-K260*(1+INDEX('Unit Economics'!$B$12:$D$12,1,B260)))</f>
        <v/>
      </c>
      <c r="S260" s="3" t="str">
        <f aca="false">IF(O260="","",IF(O260&lt;=INDEX('Unit Economics'!$B$19:$D$19,1,B260),"Scale",IF(O260&lt;=INDEX('Unit Economics'!$B$18:$D$18,1,B260),"Keep","Losing money")))</f>
        <v/>
      </c>
    </row>
    <row r="261" customFormat="false" ht="15" hidden="false" customHeight="true" outlineLevel="0" collapsed="false">
      <c r="J261" s="15"/>
      <c r="K261" s="15"/>
      <c r="L261" s="15"/>
      <c r="M261" s="14" t="str">
        <f aca="false">IF(E261&gt;0,F261/E261,"")</f>
        <v/>
      </c>
      <c r="N261" s="14" t="str">
        <f aca="false">IF(G261&gt;0,I261/G261,"")</f>
        <v/>
      </c>
      <c r="O261" s="8" t="str">
        <f aca="false">IF(AND(I261&gt;0,K261&gt;0),K261/I261,"")</f>
        <v/>
      </c>
      <c r="P261" s="9" t="str">
        <f aca="false">IF(K261&gt;0,J261/K261,"")</f>
        <v/>
      </c>
      <c r="Q261" s="8" t="str">
        <f aca="false">IF(B261="","",J261-J261*INDEX('Unit Economics'!$B$10:$D$10,1,B261)-I261*INDEX('Unit Economics'!$B$11:$D$11,1,B261)-L261)</f>
        <v/>
      </c>
      <c r="R261" s="8" t="str">
        <f aca="false">IF(B261="","",Q261-K261*(1+INDEX('Unit Economics'!$B$12:$D$12,1,B261)))</f>
        <v/>
      </c>
      <c r="S261" s="3" t="str">
        <f aca="false">IF(O261="","",IF(O261&lt;=INDEX('Unit Economics'!$B$19:$D$19,1,B261),"Scale",IF(O261&lt;=INDEX('Unit Economics'!$B$18:$D$18,1,B261),"Keep","Losing money")))</f>
        <v/>
      </c>
    </row>
    <row r="262" customFormat="false" ht="15" hidden="false" customHeight="true" outlineLevel="0" collapsed="false">
      <c r="J262" s="15"/>
      <c r="K262" s="15"/>
      <c r="L262" s="15"/>
      <c r="M262" s="14" t="str">
        <f aca="false">IF(E262&gt;0,F262/E262,"")</f>
        <v/>
      </c>
      <c r="N262" s="14" t="str">
        <f aca="false">IF(G262&gt;0,I262/G262,"")</f>
        <v/>
      </c>
      <c r="O262" s="8" t="str">
        <f aca="false">IF(AND(I262&gt;0,K262&gt;0),K262/I262,"")</f>
        <v/>
      </c>
      <c r="P262" s="9" t="str">
        <f aca="false">IF(K262&gt;0,J262/K262,"")</f>
        <v/>
      </c>
      <c r="Q262" s="8" t="str">
        <f aca="false">IF(B262="","",J262-J262*INDEX('Unit Economics'!$B$10:$D$10,1,B262)-I262*INDEX('Unit Economics'!$B$11:$D$11,1,B262)-L262)</f>
        <v/>
      </c>
      <c r="R262" s="8" t="str">
        <f aca="false">IF(B262="","",Q262-K262*(1+INDEX('Unit Economics'!$B$12:$D$12,1,B262)))</f>
        <v/>
      </c>
      <c r="S262" s="3" t="str">
        <f aca="false">IF(O262="","",IF(O262&lt;=INDEX('Unit Economics'!$B$19:$D$19,1,B262),"Scale",IF(O262&lt;=INDEX('Unit Economics'!$B$18:$D$18,1,B262),"Keep","Losing money")))</f>
        <v/>
      </c>
    </row>
    <row r="263" customFormat="false" ht="15" hidden="false" customHeight="true" outlineLevel="0" collapsed="false">
      <c r="J263" s="15"/>
      <c r="K263" s="15"/>
      <c r="L263" s="15"/>
      <c r="M263" s="14" t="str">
        <f aca="false">IF(E263&gt;0,F263/E263,"")</f>
        <v/>
      </c>
      <c r="N263" s="14" t="str">
        <f aca="false">IF(G263&gt;0,I263/G263,"")</f>
        <v/>
      </c>
      <c r="O263" s="8" t="str">
        <f aca="false">IF(AND(I263&gt;0,K263&gt;0),K263/I263,"")</f>
        <v/>
      </c>
      <c r="P263" s="9" t="str">
        <f aca="false">IF(K263&gt;0,J263/K263,"")</f>
        <v/>
      </c>
      <c r="Q263" s="8" t="str">
        <f aca="false">IF(B263="","",J263-J263*INDEX('Unit Economics'!$B$10:$D$10,1,B263)-I263*INDEX('Unit Economics'!$B$11:$D$11,1,B263)-L263)</f>
        <v/>
      </c>
      <c r="R263" s="8" t="str">
        <f aca="false">IF(B263="","",Q263-K263*(1+INDEX('Unit Economics'!$B$12:$D$12,1,B263)))</f>
        <v/>
      </c>
      <c r="S263" s="3" t="str">
        <f aca="false">IF(O263="","",IF(O263&lt;=INDEX('Unit Economics'!$B$19:$D$19,1,B263),"Scale",IF(O263&lt;=INDEX('Unit Economics'!$B$18:$D$18,1,B263),"Keep","Losing money")))</f>
        <v/>
      </c>
    </row>
    <row r="264" customFormat="false" ht="15" hidden="false" customHeight="true" outlineLevel="0" collapsed="false">
      <c r="J264" s="15"/>
      <c r="K264" s="15"/>
      <c r="L264" s="15"/>
      <c r="M264" s="14" t="str">
        <f aca="false">IF(E264&gt;0,F264/E264,"")</f>
        <v/>
      </c>
      <c r="N264" s="14" t="str">
        <f aca="false">IF(G264&gt;0,I264/G264,"")</f>
        <v/>
      </c>
      <c r="O264" s="8" t="str">
        <f aca="false">IF(AND(I264&gt;0,K264&gt;0),K264/I264,"")</f>
        <v/>
      </c>
      <c r="P264" s="9" t="str">
        <f aca="false">IF(K264&gt;0,J264/K264,"")</f>
        <v/>
      </c>
      <c r="Q264" s="8" t="str">
        <f aca="false">IF(B264="","",J264-J264*INDEX('Unit Economics'!$B$10:$D$10,1,B264)-I264*INDEX('Unit Economics'!$B$11:$D$11,1,B264)-L264)</f>
        <v/>
      </c>
      <c r="R264" s="8" t="str">
        <f aca="false">IF(B264="","",Q264-K264*(1+INDEX('Unit Economics'!$B$12:$D$12,1,B264)))</f>
        <v/>
      </c>
      <c r="S264" s="3" t="str">
        <f aca="false">IF(O264="","",IF(O264&lt;=INDEX('Unit Economics'!$B$19:$D$19,1,B264),"Scale",IF(O264&lt;=INDEX('Unit Economics'!$B$18:$D$18,1,B264),"Keep","Losing money")))</f>
        <v/>
      </c>
    </row>
    <row r="265" customFormat="false" ht="15" hidden="false" customHeight="true" outlineLevel="0" collapsed="false">
      <c r="J265" s="15"/>
      <c r="K265" s="15"/>
      <c r="L265" s="15"/>
      <c r="M265" s="14" t="str">
        <f aca="false">IF(E265&gt;0,F265/E265,"")</f>
        <v/>
      </c>
      <c r="N265" s="14" t="str">
        <f aca="false">IF(G265&gt;0,I265/G265,"")</f>
        <v/>
      </c>
      <c r="O265" s="8" t="str">
        <f aca="false">IF(AND(I265&gt;0,K265&gt;0),K265/I265,"")</f>
        <v/>
      </c>
      <c r="P265" s="9" t="str">
        <f aca="false">IF(K265&gt;0,J265/K265,"")</f>
        <v/>
      </c>
      <c r="Q265" s="8" t="str">
        <f aca="false">IF(B265="","",J265-J265*INDEX('Unit Economics'!$B$10:$D$10,1,B265)-I265*INDEX('Unit Economics'!$B$11:$D$11,1,B265)-L265)</f>
        <v/>
      </c>
      <c r="R265" s="8" t="str">
        <f aca="false">IF(B265="","",Q265-K265*(1+INDEX('Unit Economics'!$B$12:$D$12,1,B265)))</f>
        <v/>
      </c>
      <c r="S265" s="3" t="str">
        <f aca="false">IF(O265="","",IF(O265&lt;=INDEX('Unit Economics'!$B$19:$D$19,1,B265),"Scale",IF(O265&lt;=INDEX('Unit Economics'!$B$18:$D$18,1,B265),"Keep","Losing money")))</f>
        <v/>
      </c>
    </row>
    <row r="266" customFormat="false" ht="15" hidden="false" customHeight="true" outlineLevel="0" collapsed="false">
      <c r="J266" s="15"/>
      <c r="K266" s="15"/>
      <c r="L266" s="15"/>
      <c r="M266" s="14" t="str">
        <f aca="false">IF(E266&gt;0,F266/E266,"")</f>
        <v/>
      </c>
      <c r="N266" s="14" t="str">
        <f aca="false">IF(G266&gt;0,I266/G266,"")</f>
        <v/>
      </c>
      <c r="O266" s="8" t="str">
        <f aca="false">IF(AND(I266&gt;0,K266&gt;0),K266/I266,"")</f>
        <v/>
      </c>
      <c r="P266" s="9" t="str">
        <f aca="false">IF(K266&gt;0,J266/K266,"")</f>
        <v/>
      </c>
      <c r="Q266" s="8" t="str">
        <f aca="false">IF(B266="","",J266-J266*INDEX('Unit Economics'!$B$10:$D$10,1,B266)-I266*INDEX('Unit Economics'!$B$11:$D$11,1,B266)-L266)</f>
        <v/>
      </c>
      <c r="R266" s="8" t="str">
        <f aca="false">IF(B266="","",Q266-K266*(1+INDEX('Unit Economics'!$B$12:$D$12,1,B266)))</f>
        <v/>
      </c>
      <c r="S266" s="3" t="str">
        <f aca="false">IF(O266="","",IF(O266&lt;=INDEX('Unit Economics'!$B$19:$D$19,1,B266),"Scale",IF(O266&lt;=INDEX('Unit Economics'!$B$18:$D$18,1,B266),"Keep","Losing money")))</f>
        <v/>
      </c>
    </row>
    <row r="267" customFormat="false" ht="15" hidden="false" customHeight="true" outlineLevel="0" collapsed="false">
      <c r="J267" s="15"/>
      <c r="K267" s="15"/>
      <c r="L267" s="15"/>
      <c r="M267" s="14" t="str">
        <f aca="false">IF(E267&gt;0,F267/E267,"")</f>
        <v/>
      </c>
      <c r="N267" s="14" t="str">
        <f aca="false">IF(G267&gt;0,I267/G267,"")</f>
        <v/>
      </c>
      <c r="O267" s="8" t="str">
        <f aca="false">IF(AND(I267&gt;0,K267&gt;0),K267/I267,"")</f>
        <v/>
      </c>
      <c r="P267" s="9" t="str">
        <f aca="false">IF(K267&gt;0,J267/K267,"")</f>
        <v/>
      </c>
      <c r="Q267" s="8" t="str">
        <f aca="false">IF(B267="","",J267-J267*INDEX('Unit Economics'!$B$10:$D$10,1,B267)-I267*INDEX('Unit Economics'!$B$11:$D$11,1,B267)-L267)</f>
        <v/>
      </c>
      <c r="R267" s="8" t="str">
        <f aca="false">IF(B267="","",Q267-K267*(1+INDEX('Unit Economics'!$B$12:$D$12,1,B267)))</f>
        <v/>
      </c>
      <c r="S267" s="3" t="str">
        <f aca="false">IF(O267="","",IF(O267&lt;=INDEX('Unit Economics'!$B$19:$D$19,1,B267),"Scale",IF(O267&lt;=INDEX('Unit Economics'!$B$18:$D$18,1,B267),"Keep","Losing money")))</f>
        <v/>
      </c>
    </row>
    <row r="268" customFormat="false" ht="15" hidden="false" customHeight="true" outlineLevel="0" collapsed="false">
      <c r="J268" s="15"/>
      <c r="K268" s="15"/>
      <c r="L268" s="15"/>
      <c r="M268" s="14" t="str">
        <f aca="false">IF(E268&gt;0,F268/E268,"")</f>
        <v/>
      </c>
      <c r="N268" s="14" t="str">
        <f aca="false">IF(G268&gt;0,I268/G268,"")</f>
        <v/>
      </c>
      <c r="O268" s="8" t="str">
        <f aca="false">IF(AND(I268&gt;0,K268&gt;0),K268/I268,"")</f>
        <v/>
      </c>
      <c r="P268" s="9" t="str">
        <f aca="false">IF(K268&gt;0,J268/K268,"")</f>
        <v/>
      </c>
      <c r="Q268" s="8" t="str">
        <f aca="false">IF(B268="","",J268-J268*INDEX('Unit Economics'!$B$10:$D$10,1,B268)-I268*INDEX('Unit Economics'!$B$11:$D$11,1,B268)-L268)</f>
        <v/>
      </c>
      <c r="R268" s="8" t="str">
        <f aca="false">IF(B268="","",Q268-K268*(1+INDEX('Unit Economics'!$B$12:$D$12,1,B268)))</f>
        <v/>
      </c>
      <c r="S268" s="3" t="str">
        <f aca="false">IF(O268="","",IF(O268&lt;=INDEX('Unit Economics'!$B$19:$D$19,1,B268),"Scale",IF(O268&lt;=INDEX('Unit Economics'!$B$18:$D$18,1,B268),"Keep","Losing money")))</f>
        <v/>
      </c>
    </row>
    <row r="269" customFormat="false" ht="15" hidden="false" customHeight="true" outlineLevel="0" collapsed="false">
      <c r="J269" s="15"/>
      <c r="K269" s="15"/>
      <c r="L269" s="15"/>
      <c r="M269" s="14" t="str">
        <f aca="false">IF(E269&gt;0,F269/E269,"")</f>
        <v/>
      </c>
      <c r="N269" s="14" t="str">
        <f aca="false">IF(G269&gt;0,I269/G269,"")</f>
        <v/>
      </c>
      <c r="O269" s="8" t="str">
        <f aca="false">IF(AND(I269&gt;0,K269&gt;0),K269/I269,"")</f>
        <v/>
      </c>
      <c r="P269" s="9" t="str">
        <f aca="false">IF(K269&gt;0,J269/K269,"")</f>
        <v/>
      </c>
      <c r="Q269" s="8" t="str">
        <f aca="false">IF(B269="","",J269-J269*INDEX('Unit Economics'!$B$10:$D$10,1,B269)-I269*INDEX('Unit Economics'!$B$11:$D$11,1,B269)-L269)</f>
        <v/>
      </c>
      <c r="R269" s="8" t="str">
        <f aca="false">IF(B269="","",Q269-K269*(1+INDEX('Unit Economics'!$B$12:$D$12,1,B269)))</f>
        <v/>
      </c>
      <c r="S269" s="3" t="str">
        <f aca="false">IF(O269="","",IF(O269&lt;=INDEX('Unit Economics'!$B$19:$D$19,1,B269),"Scale",IF(O269&lt;=INDEX('Unit Economics'!$B$18:$D$18,1,B269),"Keep","Losing money")))</f>
        <v/>
      </c>
    </row>
    <row r="270" customFormat="false" ht="15" hidden="false" customHeight="true" outlineLevel="0" collapsed="false">
      <c r="J270" s="15"/>
      <c r="K270" s="15"/>
      <c r="L270" s="15"/>
      <c r="M270" s="14" t="str">
        <f aca="false">IF(E270&gt;0,F270/E270,"")</f>
        <v/>
      </c>
      <c r="N270" s="14" t="str">
        <f aca="false">IF(G270&gt;0,I270/G270,"")</f>
        <v/>
      </c>
      <c r="O270" s="8" t="str">
        <f aca="false">IF(AND(I270&gt;0,K270&gt;0),K270/I270,"")</f>
        <v/>
      </c>
      <c r="P270" s="9" t="str">
        <f aca="false">IF(K270&gt;0,J270/K270,"")</f>
        <v/>
      </c>
      <c r="Q270" s="8" t="str">
        <f aca="false">IF(B270="","",J270-J270*INDEX('Unit Economics'!$B$10:$D$10,1,B270)-I270*INDEX('Unit Economics'!$B$11:$D$11,1,B270)-L270)</f>
        <v/>
      </c>
      <c r="R270" s="8" t="str">
        <f aca="false">IF(B270="","",Q270-K270*(1+INDEX('Unit Economics'!$B$12:$D$12,1,B270)))</f>
        <v/>
      </c>
      <c r="S270" s="3" t="str">
        <f aca="false">IF(O270="","",IF(O270&lt;=INDEX('Unit Economics'!$B$19:$D$19,1,B270),"Scale",IF(O270&lt;=INDEX('Unit Economics'!$B$18:$D$18,1,B270),"Keep","Losing money")))</f>
        <v/>
      </c>
    </row>
    <row r="271" customFormat="false" ht="15" hidden="false" customHeight="true" outlineLevel="0" collapsed="false">
      <c r="J271" s="15"/>
      <c r="K271" s="15"/>
      <c r="L271" s="15"/>
      <c r="M271" s="14" t="str">
        <f aca="false">IF(E271&gt;0,F271/E271,"")</f>
        <v/>
      </c>
      <c r="N271" s="14" t="str">
        <f aca="false">IF(G271&gt;0,I271/G271,"")</f>
        <v/>
      </c>
      <c r="O271" s="8" t="str">
        <f aca="false">IF(AND(I271&gt;0,K271&gt;0),K271/I271,"")</f>
        <v/>
      </c>
      <c r="P271" s="9" t="str">
        <f aca="false">IF(K271&gt;0,J271/K271,"")</f>
        <v/>
      </c>
      <c r="Q271" s="8" t="str">
        <f aca="false">IF(B271="","",J271-J271*INDEX('Unit Economics'!$B$10:$D$10,1,B271)-I271*INDEX('Unit Economics'!$B$11:$D$11,1,B271)-L271)</f>
        <v/>
      </c>
      <c r="R271" s="8" t="str">
        <f aca="false">IF(B271="","",Q271-K271*(1+INDEX('Unit Economics'!$B$12:$D$12,1,B271)))</f>
        <v/>
      </c>
      <c r="S271" s="3" t="str">
        <f aca="false">IF(O271="","",IF(O271&lt;=INDEX('Unit Economics'!$B$19:$D$19,1,B271),"Scale",IF(O271&lt;=INDEX('Unit Economics'!$B$18:$D$18,1,B271),"Keep","Losing money")))</f>
        <v/>
      </c>
    </row>
    <row r="272" customFormat="false" ht="15" hidden="false" customHeight="true" outlineLevel="0" collapsed="false">
      <c r="J272" s="15"/>
      <c r="K272" s="15"/>
      <c r="L272" s="15"/>
      <c r="M272" s="14" t="str">
        <f aca="false">IF(E272&gt;0,F272/E272,"")</f>
        <v/>
      </c>
      <c r="N272" s="14" t="str">
        <f aca="false">IF(G272&gt;0,I272/G272,"")</f>
        <v/>
      </c>
      <c r="O272" s="8" t="str">
        <f aca="false">IF(AND(I272&gt;0,K272&gt;0),K272/I272,"")</f>
        <v/>
      </c>
      <c r="P272" s="9" t="str">
        <f aca="false">IF(K272&gt;0,J272/K272,"")</f>
        <v/>
      </c>
      <c r="Q272" s="8" t="str">
        <f aca="false">IF(B272="","",J272-J272*INDEX('Unit Economics'!$B$10:$D$10,1,B272)-I272*INDEX('Unit Economics'!$B$11:$D$11,1,B272)-L272)</f>
        <v/>
      </c>
      <c r="R272" s="8" t="str">
        <f aca="false">IF(B272="","",Q272-K272*(1+INDEX('Unit Economics'!$B$12:$D$12,1,B272)))</f>
        <v/>
      </c>
      <c r="S272" s="3" t="str">
        <f aca="false">IF(O272="","",IF(O272&lt;=INDEX('Unit Economics'!$B$19:$D$19,1,B272),"Scale",IF(O272&lt;=INDEX('Unit Economics'!$B$18:$D$18,1,B272),"Keep","Losing money")))</f>
        <v/>
      </c>
    </row>
    <row r="273" customFormat="false" ht="15" hidden="false" customHeight="true" outlineLevel="0" collapsed="false">
      <c r="J273" s="15"/>
      <c r="K273" s="15"/>
      <c r="L273" s="15"/>
      <c r="M273" s="14" t="str">
        <f aca="false">IF(E273&gt;0,F273/E273,"")</f>
        <v/>
      </c>
      <c r="N273" s="14" t="str">
        <f aca="false">IF(G273&gt;0,I273/G273,"")</f>
        <v/>
      </c>
      <c r="O273" s="8" t="str">
        <f aca="false">IF(AND(I273&gt;0,K273&gt;0),K273/I273,"")</f>
        <v/>
      </c>
      <c r="P273" s="9" t="str">
        <f aca="false">IF(K273&gt;0,J273/K273,"")</f>
        <v/>
      </c>
      <c r="Q273" s="8" t="str">
        <f aca="false">IF(B273="","",J273-J273*INDEX('Unit Economics'!$B$10:$D$10,1,B273)-I273*INDEX('Unit Economics'!$B$11:$D$11,1,B273)-L273)</f>
        <v/>
      </c>
      <c r="R273" s="8" t="str">
        <f aca="false">IF(B273="","",Q273-K273*(1+INDEX('Unit Economics'!$B$12:$D$12,1,B273)))</f>
        <v/>
      </c>
      <c r="S273" s="3" t="str">
        <f aca="false">IF(O273="","",IF(O273&lt;=INDEX('Unit Economics'!$B$19:$D$19,1,B273),"Scale",IF(O273&lt;=INDEX('Unit Economics'!$B$18:$D$18,1,B273),"Keep","Losing money")))</f>
        <v/>
      </c>
    </row>
    <row r="274" customFormat="false" ht="15" hidden="false" customHeight="true" outlineLevel="0" collapsed="false">
      <c r="J274" s="15"/>
      <c r="K274" s="15"/>
      <c r="L274" s="15"/>
      <c r="M274" s="14" t="str">
        <f aca="false">IF(E274&gt;0,F274/E274,"")</f>
        <v/>
      </c>
      <c r="N274" s="14" t="str">
        <f aca="false">IF(G274&gt;0,I274/G274,"")</f>
        <v/>
      </c>
      <c r="O274" s="8" t="str">
        <f aca="false">IF(AND(I274&gt;0,K274&gt;0),K274/I274,"")</f>
        <v/>
      </c>
      <c r="P274" s="9" t="str">
        <f aca="false">IF(K274&gt;0,J274/K274,"")</f>
        <v/>
      </c>
      <c r="Q274" s="8" t="str">
        <f aca="false">IF(B274="","",J274-J274*INDEX('Unit Economics'!$B$10:$D$10,1,B274)-I274*INDEX('Unit Economics'!$B$11:$D$11,1,B274)-L274)</f>
        <v/>
      </c>
      <c r="R274" s="8" t="str">
        <f aca="false">IF(B274="","",Q274-K274*(1+INDEX('Unit Economics'!$B$12:$D$12,1,B274)))</f>
        <v/>
      </c>
      <c r="S274" s="3" t="str">
        <f aca="false">IF(O274="","",IF(O274&lt;=INDEX('Unit Economics'!$B$19:$D$19,1,B274),"Scale",IF(O274&lt;=INDEX('Unit Economics'!$B$18:$D$18,1,B274),"Keep","Losing money")))</f>
        <v/>
      </c>
    </row>
    <row r="275" customFormat="false" ht="15" hidden="false" customHeight="true" outlineLevel="0" collapsed="false">
      <c r="J275" s="15"/>
      <c r="K275" s="15"/>
      <c r="L275" s="15"/>
      <c r="M275" s="14" t="str">
        <f aca="false">IF(E275&gt;0,F275/E275,"")</f>
        <v/>
      </c>
      <c r="N275" s="14" t="str">
        <f aca="false">IF(G275&gt;0,I275/G275,"")</f>
        <v/>
      </c>
      <c r="O275" s="8" t="str">
        <f aca="false">IF(AND(I275&gt;0,K275&gt;0),K275/I275,"")</f>
        <v/>
      </c>
      <c r="P275" s="9" t="str">
        <f aca="false">IF(K275&gt;0,J275/K275,"")</f>
        <v/>
      </c>
      <c r="Q275" s="8" t="str">
        <f aca="false">IF(B275="","",J275-J275*INDEX('Unit Economics'!$B$10:$D$10,1,B275)-I275*INDEX('Unit Economics'!$B$11:$D$11,1,B275)-L275)</f>
        <v/>
      </c>
      <c r="R275" s="8" t="str">
        <f aca="false">IF(B275="","",Q275-K275*(1+INDEX('Unit Economics'!$B$12:$D$12,1,B275)))</f>
        <v/>
      </c>
      <c r="S275" s="3" t="str">
        <f aca="false">IF(O275="","",IF(O275&lt;=INDEX('Unit Economics'!$B$19:$D$19,1,B275),"Scale",IF(O275&lt;=INDEX('Unit Economics'!$B$18:$D$18,1,B275),"Keep","Losing money")))</f>
        <v/>
      </c>
    </row>
    <row r="276" customFormat="false" ht="15" hidden="false" customHeight="true" outlineLevel="0" collapsed="false">
      <c r="J276" s="15"/>
      <c r="K276" s="15"/>
      <c r="L276" s="15"/>
      <c r="M276" s="14" t="str">
        <f aca="false">IF(E276&gt;0,F276/E276,"")</f>
        <v/>
      </c>
      <c r="N276" s="14" t="str">
        <f aca="false">IF(G276&gt;0,I276/G276,"")</f>
        <v/>
      </c>
      <c r="O276" s="8" t="str">
        <f aca="false">IF(AND(I276&gt;0,K276&gt;0),K276/I276,"")</f>
        <v/>
      </c>
      <c r="P276" s="9" t="str">
        <f aca="false">IF(K276&gt;0,J276/K276,"")</f>
        <v/>
      </c>
      <c r="Q276" s="8" t="str">
        <f aca="false">IF(B276="","",J276-J276*INDEX('Unit Economics'!$B$10:$D$10,1,B276)-I276*INDEX('Unit Economics'!$B$11:$D$11,1,B276)-L276)</f>
        <v/>
      </c>
      <c r="R276" s="8" t="str">
        <f aca="false">IF(B276="","",Q276-K276*(1+INDEX('Unit Economics'!$B$12:$D$12,1,B276)))</f>
        <v/>
      </c>
      <c r="S276" s="3" t="str">
        <f aca="false">IF(O276="","",IF(O276&lt;=INDEX('Unit Economics'!$B$19:$D$19,1,B276),"Scale",IF(O276&lt;=INDEX('Unit Economics'!$B$18:$D$18,1,B276),"Keep","Losing money")))</f>
        <v/>
      </c>
    </row>
    <row r="277" customFormat="false" ht="15" hidden="false" customHeight="true" outlineLevel="0" collapsed="false">
      <c r="J277" s="15"/>
      <c r="K277" s="15"/>
      <c r="L277" s="15"/>
      <c r="M277" s="14" t="str">
        <f aca="false">IF(E277&gt;0,F277/E277,"")</f>
        <v/>
      </c>
      <c r="N277" s="14" t="str">
        <f aca="false">IF(G277&gt;0,I277/G277,"")</f>
        <v/>
      </c>
      <c r="O277" s="8" t="str">
        <f aca="false">IF(AND(I277&gt;0,K277&gt;0),K277/I277,"")</f>
        <v/>
      </c>
      <c r="P277" s="9" t="str">
        <f aca="false">IF(K277&gt;0,J277/K277,"")</f>
        <v/>
      </c>
      <c r="Q277" s="8" t="str">
        <f aca="false">IF(B277="","",J277-J277*INDEX('Unit Economics'!$B$10:$D$10,1,B277)-I277*INDEX('Unit Economics'!$B$11:$D$11,1,B277)-L277)</f>
        <v/>
      </c>
      <c r="R277" s="8" t="str">
        <f aca="false">IF(B277="","",Q277-K277*(1+INDEX('Unit Economics'!$B$12:$D$12,1,B277)))</f>
        <v/>
      </c>
      <c r="S277" s="3" t="str">
        <f aca="false">IF(O277="","",IF(O277&lt;=INDEX('Unit Economics'!$B$19:$D$19,1,B277),"Scale",IF(O277&lt;=INDEX('Unit Economics'!$B$18:$D$18,1,B277),"Keep","Losing money")))</f>
        <v/>
      </c>
    </row>
    <row r="278" customFormat="false" ht="15" hidden="false" customHeight="true" outlineLevel="0" collapsed="false">
      <c r="J278" s="15"/>
      <c r="K278" s="15"/>
      <c r="L278" s="15"/>
      <c r="M278" s="14" t="str">
        <f aca="false">IF(E278&gt;0,F278/E278,"")</f>
        <v/>
      </c>
      <c r="N278" s="14" t="str">
        <f aca="false">IF(G278&gt;0,I278/G278,"")</f>
        <v/>
      </c>
      <c r="O278" s="8" t="str">
        <f aca="false">IF(AND(I278&gt;0,K278&gt;0),K278/I278,"")</f>
        <v/>
      </c>
      <c r="P278" s="9" t="str">
        <f aca="false">IF(K278&gt;0,J278/K278,"")</f>
        <v/>
      </c>
      <c r="Q278" s="8" t="str">
        <f aca="false">IF(B278="","",J278-J278*INDEX('Unit Economics'!$B$10:$D$10,1,B278)-I278*INDEX('Unit Economics'!$B$11:$D$11,1,B278)-L278)</f>
        <v/>
      </c>
      <c r="R278" s="8" t="str">
        <f aca="false">IF(B278="","",Q278-K278*(1+INDEX('Unit Economics'!$B$12:$D$12,1,B278)))</f>
        <v/>
      </c>
      <c r="S278" s="3" t="str">
        <f aca="false">IF(O278="","",IF(O278&lt;=INDEX('Unit Economics'!$B$19:$D$19,1,B278),"Scale",IF(O278&lt;=INDEX('Unit Economics'!$B$18:$D$18,1,B278),"Keep","Losing money")))</f>
        <v/>
      </c>
    </row>
    <row r="279" customFormat="false" ht="15" hidden="false" customHeight="true" outlineLevel="0" collapsed="false">
      <c r="J279" s="15"/>
      <c r="K279" s="15"/>
      <c r="L279" s="15"/>
      <c r="M279" s="14" t="str">
        <f aca="false">IF(E279&gt;0,F279/E279,"")</f>
        <v/>
      </c>
      <c r="N279" s="14" t="str">
        <f aca="false">IF(G279&gt;0,I279/G279,"")</f>
        <v/>
      </c>
      <c r="O279" s="8" t="str">
        <f aca="false">IF(AND(I279&gt;0,K279&gt;0),K279/I279,"")</f>
        <v/>
      </c>
      <c r="P279" s="9" t="str">
        <f aca="false">IF(K279&gt;0,J279/K279,"")</f>
        <v/>
      </c>
      <c r="Q279" s="8" t="str">
        <f aca="false">IF(B279="","",J279-J279*INDEX('Unit Economics'!$B$10:$D$10,1,B279)-I279*INDEX('Unit Economics'!$B$11:$D$11,1,B279)-L279)</f>
        <v/>
      </c>
      <c r="R279" s="8" t="str">
        <f aca="false">IF(B279="","",Q279-K279*(1+INDEX('Unit Economics'!$B$12:$D$12,1,B279)))</f>
        <v/>
      </c>
      <c r="S279" s="3" t="str">
        <f aca="false">IF(O279="","",IF(O279&lt;=INDEX('Unit Economics'!$B$19:$D$19,1,B279),"Scale",IF(O279&lt;=INDEX('Unit Economics'!$B$18:$D$18,1,B279),"Keep","Losing money")))</f>
        <v/>
      </c>
    </row>
    <row r="280" customFormat="false" ht="15" hidden="false" customHeight="true" outlineLevel="0" collapsed="false">
      <c r="J280" s="15"/>
      <c r="K280" s="15"/>
      <c r="L280" s="15"/>
      <c r="M280" s="14" t="str">
        <f aca="false">IF(E280&gt;0,F280/E280,"")</f>
        <v/>
      </c>
      <c r="N280" s="14" t="str">
        <f aca="false">IF(G280&gt;0,I280/G280,"")</f>
        <v/>
      </c>
      <c r="O280" s="8" t="str">
        <f aca="false">IF(AND(I280&gt;0,K280&gt;0),K280/I280,"")</f>
        <v/>
      </c>
      <c r="P280" s="9" t="str">
        <f aca="false">IF(K280&gt;0,J280/K280,"")</f>
        <v/>
      </c>
      <c r="Q280" s="8" t="str">
        <f aca="false">IF(B280="","",J280-J280*INDEX('Unit Economics'!$B$10:$D$10,1,B280)-I280*INDEX('Unit Economics'!$B$11:$D$11,1,B280)-L280)</f>
        <v/>
      </c>
      <c r="R280" s="8" t="str">
        <f aca="false">IF(B280="","",Q280-K280*(1+INDEX('Unit Economics'!$B$12:$D$12,1,B280)))</f>
        <v/>
      </c>
      <c r="S280" s="3" t="str">
        <f aca="false">IF(O280="","",IF(O280&lt;=INDEX('Unit Economics'!$B$19:$D$19,1,B280),"Scale",IF(O280&lt;=INDEX('Unit Economics'!$B$18:$D$18,1,B280),"Keep","Losing money")))</f>
        <v/>
      </c>
    </row>
    <row r="281" customFormat="false" ht="15" hidden="false" customHeight="true" outlineLevel="0" collapsed="false">
      <c r="J281" s="15"/>
      <c r="K281" s="15"/>
      <c r="L281" s="15"/>
      <c r="M281" s="14" t="str">
        <f aca="false">IF(E281&gt;0,F281/E281,"")</f>
        <v/>
      </c>
      <c r="N281" s="14" t="str">
        <f aca="false">IF(G281&gt;0,I281/G281,"")</f>
        <v/>
      </c>
      <c r="O281" s="8" t="str">
        <f aca="false">IF(AND(I281&gt;0,K281&gt;0),K281/I281,"")</f>
        <v/>
      </c>
      <c r="P281" s="9" t="str">
        <f aca="false">IF(K281&gt;0,J281/K281,"")</f>
        <v/>
      </c>
      <c r="Q281" s="8" t="str">
        <f aca="false">IF(B281="","",J281-J281*INDEX('Unit Economics'!$B$10:$D$10,1,B281)-I281*INDEX('Unit Economics'!$B$11:$D$11,1,B281)-L281)</f>
        <v/>
      </c>
      <c r="R281" s="8" t="str">
        <f aca="false">IF(B281="","",Q281-K281*(1+INDEX('Unit Economics'!$B$12:$D$12,1,B281)))</f>
        <v/>
      </c>
      <c r="S281" s="3" t="str">
        <f aca="false">IF(O281="","",IF(O281&lt;=INDEX('Unit Economics'!$B$19:$D$19,1,B281),"Scale",IF(O281&lt;=INDEX('Unit Economics'!$B$18:$D$18,1,B281),"Keep","Losing money")))</f>
        <v/>
      </c>
    </row>
    <row r="282" customFormat="false" ht="15" hidden="false" customHeight="true" outlineLevel="0" collapsed="false">
      <c r="J282" s="15"/>
      <c r="K282" s="15"/>
      <c r="L282" s="15"/>
      <c r="M282" s="14" t="str">
        <f aca="false">IF(E282&gt;0,F282/E282,"")</f>
        <v/>
      </c>
      <c r="N282" s="14" t="str">
        <f aca="false">IF(G282&gt;0,I282/G282,"")</f>
        <v/>
      </c>
      <c r="O282" s="8" t="str">
        <f aca="false">IF(AND(I282&gt;0,K282&gt;0),K282/I282,"")</f>
        <v/>
      </c>
      <c r="P282" s="9" t="str">
        <f aca="false">IF(K282&gt;0,J282/K282,"")</f>
        <v/>
      </c>
      <c r="Q282" s="8" t="str">
        <f aca="false">IF(B282="","",J282-J282*INDEX('Unit Economics'!$B$10:$D$10,1,B282)-I282*INDEX('Unit Economics'!$B$11:$D$11,1,B282)-L282)</f>
        <v/>
      </c>
      <c r="R282" s="8" t="str">
        <f aca="false">IF(B282="","",Q282-K282*(1+INDEX('Unit Economics'!$B$12:$D$12,1,B282)))</f>
        <v/>
      </c>
      <c r="S282" s="3" t="str">
        <f aca="false">IF(O282="","",IF(O282&lt;=INDEX('Unit Economics'!$B$19:$D$19,1,B282),"Scale",IF(O282&lt;=INDEX('Unit Economics'!$B$18:$D$18,1,B282),"Keep","Losing money")))</f>
        <v/>
      </c>
    </row>
    <row r="283" customFormat="false" ht="15" hidden="false" customHeight="true" outlineLevel="0" collapsed="false">
      <c r="J283" s="15"/>
      <c r="K283" s="15"/>
      <c r="L283" s="15"/>
      <c r="M283" s="14" t="str">
        <f aca="false">IF(E283&gt;0,F283/E283,"")</f>
        <v/>
      </c>
      <c r="N283" s="14" t="str">
        <f aca="false">IF(G283&gt;0,I283/G283,"")</f>
        <v/>
      </c>
      <c r="O283" s="8" t="str">
        <f aca="false">IF(AND(I283&gt;0,K283&gt;0),K283/I283,"")</f>
        <v/>
      </c>
      <c r="P283" s="9" t="str">
        <f aca="false">IF(K283&gt;0,J283/K283,"")</f>
        <v/>
      </c>
      <c r="Q283" s="8" t="str">
        <f aca="false">IF(B283="","",J283-J283*INDEX('Unit Economics'!$B$10:$D$10,1,B283)-I283*INDEX('Unit Economics'!$B$11:$D$11,1,B283)-L283)</f>
        <v/>
      </c>
      <c r="R283" s="8" t="str">
        <f aca="false">IF(B283="","",Q283-K283*(1+INDEX('Unit Economics'!$B$12:$D$12,1,B283)))</f>
        <v/>
      </c>
      <c r="S283" s="3" t="str">
        <f aca="false">IF(O283="","",IF(O283&lt;=INDEX('Unit Economics'!$B$19:$D$19,1,B283),"Scale",IF(O283&lt;=INDEX('Unit Economics'!$B$18:$D$18,1,B283),"Keep","Losing money")))</f>
        <v/>
      </c>
    </row>
    <row r="284" customFormat="false" ht="15" hidden="false" customHeight="true" outlineLevel="0" collapsed="false">
      <c r="J284" s="15"/>
      <c r="K284" s="15"/>
      <c r="L284" s="15"/>
      <c r="M284" s="14" t="str">
        <f aca="false">IF(E284&gt;0,F284/E284,"")</f>
        <v/>
      </c>
      <c r="N284" s="14" t="str">
        <f aca="false">IF(G284&gt;0,I284/G284,"")</f>
        <v/>
      </c>
      <c r="O284" s="8" t="str">
        <f aca="false">IF(AND(I284&gt;0,K284&gt;0),K284/I284,"")</f>
        <v/>
      </c>
      <c r="P284" s="9" t="str">
        <f aca="false">IF(K284&gt;0,J284/K284,"")</f>
        <v/>
      </c>
      <c r="Q284" s="8" t="str">
        <f aca="false">IF(B284="","",J284-J284*INDEX('Unit Economics'!$B$10:$D$10,1,B284)-I284*INDEX('Unit Economics'!$B$11:$D$11,1,B284)-L284)</f>
        <v/>
      </c>
      <c r="R284" s="8" t="str">
        <f aca="false">IF(B284="","",Q284-K284*(1+INDEX('Unit Economics'!$B$12:$D$12,1,B284)))</f>
        <v/>
      </c>
      <c r="S284" s="3" t="str">
        <f aca="false">IF(O284="","",IF(O284&lt;=INDEX('Unit Economics'!$B$19:$D$19,1,B284),"Scale",IF(O284&lt;=INDEX('Unit Economics'!$B$18:$D$18,1,B284),"Keep","Losing money")))</f>
        <v/>
      </c>
    </row>
    <row r="285" customFormat="false" ht="15" hidden="false" customHeight="true" outlineLevel="0" collapsed="false">
      <c r="J285" s="15"/>
      <c r="K285" s="15"/>
      <c r="L285" s="15"/>
      <c r="M285" s="14" t="str">
        <f aca="false">IF(E285&gt;0,F285/E285,"")</f>
        <v/>
      </c>
      <c r="N285" s="14" t="str">
        <f aca="false">IF(G285&gt;0,I285/G285,"")</f>
        <v/>
      </c>
      <c r="O285" s="8" t="str">
        <f aca="false">IF(AND(I285&gt;0,K285&gt;0),K285/I285,"")</f>
        <v/>
      </c>
      <c r="P285" s="9" t="str">
        <f aca="false">IF(K285&gt;0,J285/K285,"")</f>
        <v/>
      </c>
      <c r="Q285" s="8" t="str">
        <f aca="false">IF(B285="","",J285-J285*INDEX('Unit Economics'!$B$10:$D$10,1,B285)-I285*INDEX('Unit Economics'!$B$11:$D$11,1,B285)-L285)</f>
        <v/>
      </c>
      <c r="R285" s="8" t="str">
        <f aca="false">IF(B285="","",Q285-K285*(1+INDEX('Unit Economics'!$B$12:$D$12,1,B285)))</f>
        <v/>
      </c>
      <c r="S285" s="3" t="str">
        <f aca="false">IF(O285="","",IF(O285&lt;=INDEX('Unit Economics'!$B$19:$D$19,1,B285),"Scale",IF(O285&lt;=INDEX('Unit Economics'!$B$18:$D$18,1,B285),"Keep","Losing money")))</f>
        <v/>
      </c>
    </row>
    <row r="286" customFormat="false" ht="15" hidden="false" customHeight="true" outlineLevel="0" collapsed="false">
      <c r="J286" s="15"/>
      <c r="K286" s="15"/>
      <c r="L286" s="15"/>
      <c r="M286" s="14" t="str">
        <f aca="false">IF(E286&gt;0,F286/E286,"")</f>
        <v/>
      </c>
      <c r="N286" s="14" t="str">
        <f aca="false">IF(G286&gt;0,I286/G286,"")</f>
        <v/>
      </c>
      <c r="O286" s="8" t="str">
        <f aca="false">IF(AND(I286&gt;0,K286&gt;0),K286/I286,"")</f>
        <v/>
      </c>
      <c r="P286" s="9" t="str">
        <f aca="false">IF(K286&gt;0,J286/K286,"")</f>
        <v/>
      </c>
      <c r="Q286" s="8" t="str">
        <f aca="false">IF(B286="","",J286-J286*INDEX('Unit Economics'!$B$10:$D$10,1,B286)-I286*INDEX('Unit Economics'!$B$11:$D$11,1,B286)-L286)</f>
        <v/>
      </c>
      <c r="R286" s="8" t="str">
        <f aca="false">IF(B286="","",Q286-K286*(1+INDEX('Unit Economics'!$B$12:$D$12,1,B286)))</f>
        <v/>
      </c>
      <c r="S286" s="3" t="str">
        <f aca="false">IF(O286="","",IF(O286&lt;=INDEX('Unit Economics'!$B$19:$D$19,1,B286),"Scale",IF(O286&lt;=INDEX('Unit Economics'!$B$18:$D$18,1,B286),"Keep","Losing money")))</f>
        <v/>
      </c>
    </row>
    <row r="287" customFormat="false" ht="15" hidden="false" customHeight="true" outlineLevel="0" collapsed="false">
      <c r="J287" s="15"/>
      <c r="K287" s="15"/>
      <c r="L287" s="15"/>
      <c r="M287" s="14" t="str">
        <f aca="false">IF(E287&gt;0,F287/E287,"")</f>
        <v/>
      </c>
      <c r="N287" s="14" t="str">
        <f aca="false">IF(G287&gt;0,I287/G287,"")</f>
        <v/>
      </c>
      <c r="O287" s="8" t="str">
        <f aca="false">IF(AND(I287&gt;0,K287&gt;0),K287/I287,"")</f>
        <v/>
      </c>
      <c r="P287" s="9" t="str">
        <f aca="false">IF(K287&gt;0,J287/K287,"")</f>
        <v/>
      </c>
      <c r="Q287" s="8" t="str">
        <f aca="false">IF(B287="","",J287-J287*INDEX('Unit Economics'!$B$10:$D$10,1,B287)-I287*INDEX('Unit Economics'!$B$11:$D$11,1,B287)-L287)</f>
        <v/>
      </c>
      <c r="R287" s="8" t="str">
        <f aca="false">IF(B287="","",Q287-K287*(1+INDEX('Unit Economics'!$B$12:$D$12,1,B287)))</f>
        <v/>
      </c>
      <c r="S287" s="3" t="str">
        <f aca="false">IF(O287="","",IF(O287&lt;=INDEX('Unit Economics'!$B$19:$D$19,1,B287),"Scale",IF(O287&lt;=INDEX('Unit Economics'!$B$18:$D$18,1,B287),"Keep","Losing money")))</f>
        <v/>
      </c>
    </row>
    <row r="288" customFormat="false" ht="15" hidden="false" customHeight="true" outlineLevel="0" collapsed="false">
      <c r="J288" s="15"/>
      <c r="K288" s="15"/>
      <c r="L288" s="15"/>
      <c r="M288" s="14" t="str">
        <f aca="false">IF(E288&gt;0,F288/E288,"")</f>
        <v/>
      </c>
      <c r="N288" s="14" t="str">
        <f aca="false">IF(G288&gt;0,I288/G288,"")</f>
        <v/>
      </c>
      <c r="O288" s="8" t="str">
        <f aca="false">IF(AND(I288&gt;0,K288&gt;0),K288/I288,"")</f>
        <v/>
      </c>
      <c r="P288" s="9" t="str">
        <f aca="false">IF(K288&gt;0,J288/K288,"")</f>
        <v/>
      </c>
      <c r="Q288" s="8" t="str">
        <f aca="false">IF(B288="","",J288-J288*INDEX('Unit Economics'!$B$10:$D$10,1,B288)-I288*INDEX('Unit Economics'!$B$11:$D$11,1,B288)-L288)</f>
        <v/>
      </c>
      <c r="R288" s="8" t="str">
        <f aca="false">IF(B288="","",Q288-K288*(1+INDEX('Unit Economics'!$B$12:$D$12,1,B288)))</f>
        <v/>
      </c>
      <c r="S288" s="3" t="str">
        <f aca="false">IF(O288="","",IF(O288&lt;=INDEX('Unit Economics'!$B$19:$D$19,1,B288),"Scale",IF(O288&lt;=INDEX('Unit Economics'!$B$18:$D$18,1,B288),"Keep","Losing money")))</f>
        <v/>
      </c>
    </row>
    <row r="289" customFormat="false" ht="15" hidden="false" customHeight="true" outlineLevel="0" collapsed="false">
      <c r="J289" s="15"/>
      <c r="K289" s="15"/>
      <c r="L289" s="15"/>
      <c r="M289" s="14" t="str">
        <f aca="false">IF(E289&gt;0,F289/E289,"")</f>
        <v/>
      </c>
      <c r="N289" s="14" t="str">
        <f aca="false">IF(G289&gt;0,I289/G289,"")</f>
        <v/>
      </c>
      <c r="O289" s="8" t="str">
        <f aca="false">IF(AND(I289&gt;0,K289&gt;0),K289/I289,"")</f>
        <v/>
      </c>
      <c r="P289" s="9" t="str">
        <f aca="false">IF(K289&gt;0,J289/K289,"")</f>
        <v/>
      </c>
      <c r="Q289" s="8" t="str">
        <f aca="false">IF(B289="","",J289-J289*INDEX('Unit Economics'!$B$10:$D$10,1,B289)-I289*INDEX('Unit Economics'!$B$11:$D$11,1,B289)-L289)</f>
        <v/>
      </c>
      <c r="R289" s="8" t="str">
        <f aca="false">IF(B289="","",Q289-K289*(1+INDEX('Unit Economics'!$B$12:$D$12,1,B289)))</f>
        <v/>
      </c>
      <c r="S289" s="3" t="str">
        <f aca="false">IF(O289="","",IF(O289&lt;=INDEX('Unit Economics'!$B$19:$D$19,1,B289),"Scale",IF(O289&lt;=INDEX('Unit Economics'!$B$18:$D$18,1,B289),"Keep","Losing money")))</f>
        <v/>
      </c>
    </row>
    <row r="290" customFormat="false" ht="15" hidden="false" customHeight="true" outlineLevel="0" collapsed="false">
      <c r="J290" s="15"/>
      <c r="K290" s="15"/>
      <c r="L290" s="15"/>
      <c r="M290" s="14" t="str">
        <f aca="false">IF(E290&gt;0,F290/E290,"")</f>
        <v/>
      </c>
      <c r="N290" s="14" t="str">
        <f aca="false">IF(G290&gt;0,I290/G290,"")</f>
        <v/>
      </c>
      <c r="O290" s="8" t="str">
        <f aca="false">IF(AND(I290&gt;0,K290&gt;0),K290/I290,"")</f>
        <v/>
      </c>
      <c r="P290" s="9" t="str">
        <f aca="false">IF(K290&gt;0,J290/K290,"")</f>
        <v/>
      </c>
      <c r="Q290" s="8" t="str">
        <f aca="false">IF(B290="","",J290-J290*INDEX('Unit Economics'!$B$10:$D$10,1,B290)-I290*INDEX('Unit Economics'!$B$11:$D$11,1,B290)-L290)</f>
        <v/>
      </c>
      <c r="R290" s="8" t="str">
        <f aca="false">IF(B290="","",Q290-K290*(1+INDEX('Unit Economics'!$B$12:$D$12,1,B290)))</f>
        <v/>
      </c>
      <c r="S290" s="3" t="str">
        <f aca="false">IF(O290="","",IF(O290&lt;=INDEX('Unit Economics'!$B$19:$D$19,1,B290),"Scale",IF(O290&lt;=INDEX('Unit Economics'!$B$18:$D$18,1,B290),"Keep","Losing money")))</f>
        <v/>
      </c>
    </row>
    <row r="291" customFormat="false" ht="15" hidden="false" customHeight="true" outlineLevel="0" collapsed="false">
      <c r="J291" s="15"/>
      <c r="K291" s="15"/>
      <c r="L291" s="15"/>
      <c r="M291" s="14" t="str">
        <f aca="false">IF(E291&gt;0,F291/E291,"")</f>
        <v/>
      </c>
      <c r="N291" s="14" t="str">
        <f aca="false">IF(G291&gt;0,I291/G291,"")</f>
        <v/>
      </c>
      <c r="O291" s="8" t="str">
        <f aca="false">IF(AND(I291&gt;0,K291&gt;0),K291/I291,"")</f>
        <v/>
      </c>
      <c r="P291" s="9" t="str">
        <f aca="false">IF(K291&gt;0,J291/K291,"")</f>
        <v/>
      </c>
      <c r="Q291" s="8" t="str">
        <f aca="false">IF(B291="","",J291-J291*INDEX('Unit Economics'!$B$10:$D$10,1,B291)-I291*INDEX('Unit Economics'!$B$11:$D$11,1,B291)-L291)</f>
        <v/>
      </c>
      <c r="R291" s="8" t="str">
        <f aca="false">IF(B291="","",Q291-K291*(1+INDEX('Unit Economics'!$B$12:$D$12,1,B291)))</f>
        <v/>
      </c>
      <c r="S291" s="3" t="str">
        <f aca="false">IF(O291="","",IF(O291&lt;=INDEX('Unit Economics'!$B$19:$D$19,1,B291),"Scale",IF(O291&lt;=INDEX('Unit Economics'!$B$18:$D$18,1,B291),"Keep","Losing money")))</f>
        <v/>
      </c>
    </row>
    <row r="292" customFormat="false" ht="15" hidden="false" customHeight="true" outlineLevel="0" collapsed="false">
      <c r="J292" s="15"/>
      <c r="K292" s="15"/>
      <c r="L292" s="15"/>
      <c r="M292" s="14" t="str">
        <f aca="false">IF(E292&gt;0,F292/E292,"")</f>
        <v/>
      </c>
      <c r="N292" s="14" t="str">
        <f aca="false">IF(G292&gt;0,I292/G292,"")</f>
        <v/>
      </c>
      <c r="O292" s="8" t="str">
        <f aca="false">IF(AND(I292&gt;0,K292&gt;0),K292/I292,"")</f>
        <v/>
      </c>
      <c r="P292" s="9" t="str">
        <f aca="false">IF(K292&gt;0,J292/K292,"")</f>
        <v/>
      </c>
      <c r="Q292" s="8" t="str">
        <f aca="false">IF(B292="","",J292-J292*INDEX('Unit Economics'!$B$10:$D$10,1,B292)-I292*INDEX('Unit Economics'!$B$11:$D$11,1,B292)-L292)</f>
        <v/>
      </c>
      <c r="R292" s="8" t="str">
        <f aca="false">IF(B292="","",Q292-K292*(1+INDEX('Unit Economics'!$B$12:$D$12,1,B292)))</f>
        <v/>
      </c>
      <c r="S292" s="3" t="str">
        <f aca="false">IF(O292="","",IF(O292&lt;=INDEX('Unit Economics'!$B$19:$D$19,1,B292),"Scale",IF(O292&lt;=INDEX('Unit Economics'!$B$18:$D$18,1,B292),"Keep","Losing money")))</f>
        <v/>
      </c>
    </row>
    <row r="293" customFormat="false" ht="15" hidden="false" customHeight="true" outlineLevel="0" collapsed="false">
      <c r="J293" s="15"/>
      <c r="K293" s="15"/>
      <c r="L293" s="15"/>
      <c r="M293" s="14" t="str">
        <f aca="false">IF(E293&gt;0,F293/E293,"")</f>
        <v/>
      </c>
      <c r="N293" s="14" t="str">
        <f aca="false">IF(G293&gt;0,I293/G293,"")</f>
        <v/>
      </c>
      <c r="O293" s="8" t="str">
        <f aca="false">IF(AND(I293&gt;0,K293&gt;0),K293/I293,"")</f>
        <v/>
      </c>
      <c r="P293" s="9" t="str">
        <f aca="false">IF(K293&gt;0,J293/K293,"")</f>
        <v/>
      </c>
      <c r="Q293" s="8" t="str">
        <f aca="false">IF(B293="","",J293-J293*INDEX('Unit Economics'!$B$10:$D$10,1,B293)-I293*INDEX('Unit Economics'!$B$11:$D$11,1,B293)-L293)</f>
        <v/>
      </c>
      <c r="R293" s="8" t="str">
        <f aca="false">IF(B293="","",Q293-K293*(1+INDEX('Unit Economics'!$B$12:$D$12,1,B293)))</f>
        <v/>
      </c>
      <c r="S293" s="3" t="str">
        <f aca="false">IF(O293="","",IF(O293&lt;=INDEX('Unit Economics'!$B$19:$D$19,1,B293),"Scale",IF(O293&lt;=INDEX('Unit Economics'!$B$18:$D$18,1,B293),"Keep","Losing money")))</f>
        <v/>
      </c>
    </row>
    <row r="294" customFormat="false" ht="15" hidden="false" customHeight="true" outlineLevel="0" collapsed="false">
      <c r="J294" s="15"/>
      <c r="K294" s="15"/>
      <c r="L294" s="15"/>
      <c r="M294" s="14" t="str">
        <f aca="false">IF(E294&gt;0,F294/E294,"")</f>
        <v/>
      </c>
      <c r="N294" s="14" t="str">
        <f aca="false">IF(G294&gt;0,I294/G294,"")</f>
        <v/>
      </c>
      <c r="O294" s="8" t="str">
        <f aca="false">IF(AND(I294&gt;0,K294&gt;0),K294/I294,"")</f>
        <v/>
      </c>
      <c r="P294" s="9" t="str">
        <f aca="false">IF(K294&gt;0,J294/K294,"")</f>
        <v/>
      </c>
      <c r="Q294" s="8" t="str">
        <f aca="false">IF(B294="","",J294-J294*INDEX('Unit Economics'!$B$10:$D$10,1,B294)-I294*INDEX('Unit Economics'!$B$11:$D$11,1,B294)-L294)</f>
        <v/>
      </c>
      <c r="R294" s="8" t="str">
        <f aca="false">IF(B294="","",Q294-K294*(1+INDEX('Unit Economics'!$B$12:$D$12,1,B294)))</f>
        <v/>
      </c>
      <c r="S294" s="3" t="str">
        <f aca="false">IF(O294="","",IF(O294&lt;=INDEX('Unit Economics'!$B$19:$D$19,1,B294),"Scale",IF(O294&lt;=INDEX('Unit Economics'!$B$18:$D$18,1,B294),"Keep","Losing money")))</f>
        <v/>
      </c>
    </row>
    <row r="295" customFormat="false" ht="15" hidden="false" customHeight="true" outlineLevel="0" collapsed="false">
      <c r="J295" s="15"/>
      <c r="K295" s="15"/>
      <c r="L295" s="15"/>
      <c r="M295" s="14" t="str">
        <f aca="false">IF(E295&gt;0,F295/E295,"")</f>
        <v/>
      </c>
      <c r="N295" s="14" t="str">
        <f aca="false">IF(G295&gt;0,I295/G295,"")</f>
        <v/>
      </c>
      <c r="O295" s="8" t="str">
        <f aca="false">IF(AND(I295&gt;0,K295&gt;0),K295/I295,"")</f>
        <v/>
      </c>
      <c r="P295" s="9" t="str">
        <f aca="false">IF(K295&gt;0,J295/K295,"")</f>
        <v/>
      </c>
      <c r="Q295" s="8" t="str">
        <f aca="false">IF(B295="","",J295-J295*INDEX('Unit Economics'!$B$10:$D$10,1,B295)-I295*INDEX('Unit Economics'!$B$11:$D$11,1,B295)-L295)</f>
        <v/>
      </c>
      <c r="R295" s="8" t="str">
        <f aca="false">IF(B295="","",Q295-K295*(1+INDEX('Unit Economics'!$B$12:$D$12,1,B295)))</f>
        <v/>
      </c>
      <c r="S295" s="3" t="str">
        <f aca="false">IF(O295="","",IF(O295&lt;=INDEX('Unit Economics'!$B$19:$D$19,1,B295),"Scale",IF(O295&lt;=INDEX('Unit Economics'!$B$18:$D$18,1,B295),"Keep","Losing money")))</f>
        <v/>
      </c>
    </row>
    <row r="296" customFormat="false" ht="15" hidden="false" customHeight="true" outlineLevel="0" collapsed="false">
      <c r="J296" s="15"/>
      <c r="K296" s="15"/>
      <c r="L296" s="15"/>
      <c r="M296" s="14" t="str">
        <f aca="false">IF(E296&gt;0,F296/E296,"")</f>
        <v/>
      </c>
      <c r="N296" s="14" t="str">
        <f aca="false">IF(G296&gt;0,I296/G296,"")</f>
        <v/>
      </c>
      <c r="O296" s="8" t="str">
        <f aca="false">IF(AND(I296&gt;0,K296&gt;0),K296/I296,"")</f>
        <v/>
      </c>
      <c r="P296" s="9" t="str">
        <f aca="false">IF(K296&gt;0,J296/K296,"")</f>
        <v/>
      </c>
      <c r="Q296" s="8" t="str">
        <f aca="false">IF(B296="","",J296-J296*INDEX('Unit Economics'!$B$10:$D$10,1,B296)-I296*INDEX('Unit Economics'!$B$11:$D$11,1,B296)-L296)</f>
        <v/>
      </c>
      <c r="R296" s="8" t="str">
        <f aca="false">IF(B296="","",Q296-K296*(1+INDEX('Unit Economics'!$B$12:$D$12,1,B296)))</f>
        <v/>
      </c>
      <c r="S296" s="3" t="str">
        <f aca="false">IF(O296="","",IF(O296&lt;=INDEX('Unit Economics'!$B$19:$D$19,1,B296),"Scale",IF(O296&lt;=INDEX('Unit Economics'!$B$18:$D$18,1,B296),"Keep","Losing money")))</f>
        <v/>
      </c>
    </row>
    <row r="297" customFormat="false" ht="15" hidden="false" customHeight="true" outlineLevel="0" collapsed="false">
      <c r="J297" s="15"/>
      <c r="K297" s="15"/>
      <c r="L297" s="15"/>
      <c r="M297" s="14" t="str">
        <f aca="false">IF(E297&gt;0,F297/E297,"")</f>
        <v/>
      </c>
      <c r="N297" s="14" t="str">
        <f aca="false">IF(G297&gt;0,I297/G297,"")</f>
        <v/>
      </c>
      <c r="O297" s="8" t="str">
        <f aca="false">IF(AND(I297&gt;0,K297&gt;0),K297/I297,"")</f>
        <v/>
      </c>
      <c r="P297" s="9" t="str">
        <f aca="false">IF(K297&gt;0,J297/K297,"")</f>
        <v/>
      </c>
      <c r="Q297" s="8" t="str">
        <f aca="false">IF(B297="","",J297-J297*INDEX('Unit Economics'!$B$10:$D$10,1,B297)-I297*INDEX('Unit Economics'!$B$11:$D$11,1,B297)-L297)</f>
        <v/>
      </c>
      <c r="R297" s="8" t="str">
        <f aca="false">IF(B297="","",Q297-K297*(1+INDEX('Unit Economics'!$B$12:$D$12,1,B297)))</f>
        <v/>
      </c>
      <c r="S297" s="3" t="str">
        <f aca="false">IF(O297="","",IF(O297&lt;=INDEX('Unit Economics'!$B$19:$D$19,1,B297),"Scale",IF(O297&lt;=INDEX('Unit Economics'!$B$18:$D$18,1,B297),"Keep","Losing money")))</f>
        <v/>
      </c>
    </row>
    <row r="298" customFormat="false" ht="15" hidden="false" customHeight="true" outlineLevel="0" collapsed="false">
      <c r="J298" s="15"/>
      <c r="K298" s="15"/>
      <c r="L298" s="15"/>
      <c r="M298" s="14" t="str">
        <f aca="false">IF(E298&gt;0,F298/E298,"")</f>
        <v/>
      </c>
      <c r="N298" s="14" t="str">
        <f aca="false">IF(G298&gt;0,I298/G298,"")</f>
        <v/>
      </c>
      <c r="O298" s="8" t="str">
        <f aca="false">IF(AND(I298&gt;0,K298&gt;0),K298/I298,"")</f>
        <v/>
      </c>
      <c r="P298" s="9" t="str">
        <f aca="false">IF(K298&gt;0,J298/K298,"")</f>
        <v/>
      </c>
      <c r="Q298" s="8" t="str">
        <f aca="false">IF(B298="","",J298-J298*INDEX('Unit Economics'!$B$10:$D$10,1,B298)-I298*INDEX('Unit Economics'!$B$11:$D$11,1,B298)-L298)</f>
        <v/>
      </c>
      <c r="R298" s="8" t="str">
        <f aca="false">IF(B298="","",Q298-K298*(1+INDEX('Unit Economics'!$B$12:$D$12,1,B298)))</f>
        <v/>
      </c>
      <c r="S298" s="3" t="str">
        <f aca="false">IF(O298="","",IF(O298&lt;=INDEX('Unit Economics'!$B$19:$D$19,1,B298),"Scale",IF(O298&lt;=INDEX('Unit Economics'!$B$18:$D$18,1,B298),"Keep","Losing money")))</f>
        <v/>
      </c>
    </row>
    <row r="299" customFormat="false" ht="15" hidden="false" customHeight="true" outlineLevel="0" collapsed="false">
      <c r="J299" s="15"/>
      <c r="K299" s="15"/>
      <c r="L299" s="15"/>
      <c r="M299" s="14" t="str">
        <f aca="false">IF(E299&gt;0,F299/E299,"")</f>
        <v/>
      </c>
      <c r="N299" s="14" t="str">
        <f aca="false">IF(G299&gt;0,I299/G299,"")</f>
        <v/>
      </c>
      <c r="O299" s="8" t="str">
        <f aca="false">IF(AND(I299&gt;0,K299&gt;0),K299/I299,"")</f>
        <v/>
      </c>
      <c r="P299" s="9" t="str">
        <f aca="false">IF(K299&gt;0,J299/K299,"")</f>
        <v/>
      </c>
      <c r="Q299" s="8" t="str">
        <f aca="false">IF(B299="","",J299-J299*INDEX('Unit Economics'!$B$10:$D$10,1,B299)-I299*INDEX('Unit Economics'!$B$11:$D$11,1,B299)-L299)</f>
        <v/>
      </c>
      <c r="R299" s="8" t="str">
        <f aca="false">IF(B299="","",Q299-K299*(1+INDEX('Unit Economics'!$B$12:$D$12,1,B299)))</f>
        <v/>
      </c>
      <c r="S299" s="3" t="str">
        <f aca="false">IF(O299="","",IF(O299&lt;=INDEX('Unit Economics'!$B$19:$D$19,1,B299),"Scale",IF(O299&lt;=INDEX('Unit Economics'!$B$18:$D$18,1,B299),"Keep","Losing money")))</f>
        <v/>
      </c>
    </row>
    <row r="300" customFormat="false" ht="15" hidden="false" customHeight="true" outlineLevel="0" collapsed="false">
      <c r="J300" s="15"/>
      <c r="K300" s="15"/>
      <c r="L300" s="15"/>
      <c r="M300" s="14" t="str">
        <f aca="false">IF(E300&gt;0,F300/E300,"")</f>
        <v/>
      </c>
      <c r="N300" s="14" t="str">
        <f aca="false">IF(G300&gt;0,I300/G300,"")</f>
        <v/>
      </c>
      <c r="O300" s="8" t="str">
        <f aca="false">IF(AND(I300&gt;0,K300&gt;0),K300/I300,"")</f>
        <v/>
      </c>
      <c r="P300" s="9" t="str">
        <f aca="false">IF(K300&gt;0,J300/K300,"")</f>
        <v/>
      </c>
      <c r="Q300" s="8" t="str">
        <f aca="false">IF(B300="","",J300-J300*INDEX('Unit Economics'!$B$10:$D$10,1,B300)-I300*INDEX('Unit Economics'!$B$11:$D$11,1,B300)-L300)</f>
        <v/>
      </c>
      <c r="R300" s="8" t="str">
        <f aca="false">IF(B300="","",Q300-K300*(1+INDEX('Unit Economics'!$B$12:$D$12,1,B300)))</f>
        <v/>
      </c>
      <c r="S300" s="3" t="str">
        <f aca="false">IF(O300="","",IF(O300&lt;=INDEX('Unit Economics'!$B$19:$D$19,1,B300),"Scale",IF(O300&lt;=INDEX('Unit Economics'!$B$18:$D$18,1,B300),"Keep","Losing money")))</f>
        <v/>
      </c>
    </row>
    <row r="301" customFormat="false" ht="15" hidden="false" customHeight="true" outlineLevel="0" collapsed="false">
      <c r="J301" s="15"/>
      <c r="K301" s="15"/>
      <c r="L301" s="15"/>
      <c r="M301" s="14" t="str">
        <f aca="false">IF(E301&gt;0,F301/E301,"")</f>
        <v/>
      </c>
      <c r="N301" s="14" t="str">
        <f aca="false">IF(G301&gt;0,I301/G301,"")</f>
        <v/>
      </c>
      <c r="O301" s="8" t="str">
        <f aca="false">IF(AND(I301&gt;0,K301&gt;0),K301/I301,"")</f>
        <v/>
      </c>
      <c r="P301" s="9" t="str">
        <f aca="false">IF(K301&gt;0,J301/K301,"")</f>
        <v/>
      </c>
      <c r="Q301" s="8" t="str">
        <f aca="false">IF(B301="","",J301-J301*INDEX('Unit Economics'!$B$10:$D$10,1,B301)-I301*INDEX('Unit Economics'!$B$11:$D$11,1,B301)-L301)</f>
        <v/>
      </c>
      <c r="R301" s="8" t="str">
        <f aca="false">IF(B301="","",Q301-K301*(1+INDEX('Unit Economics'!$B$12:$D$12,1,B301)))</f>
        <v/>
      </c>
      <c r="S301" s="3" t="str">
        <f aca="false">IF(O301="","",IF(O301&lt;=INDEX('Unit Economics'!$B$19:$D$19,1,B301),"Scale",IF(O301&lt;=INDEX('Unit Economics'!$B$18:$D$18,1,B301),"Keep","Losing money")))</f>
        <v/>
      </c>
    </row>
    <row r="302" customFormat="false" ht="15" hidden="false" customHeight="true" outlineLevel="0" collapsed="false">
      <c r="J302" s="15"/>
      <c r="K302" s="15"/>
      <c r="L302" s="15"/>
      <c r="M302" s="14" t="str">
        <f aca="false">IF(E302&gt;0,F302/E302,"")</f>
        <v/>
      </c>
      <c r="N302" s="14" t="str">
        <f aca="false">IF(G302&gt;0,I302/G302,"")</f>
        <v/>
      </c>
      <c r="O302" s="8" t="str">
        <f aca="false">IF(AND(I302&gt;0,K302&gt;0),K302/I302,"")</f>
        <v/>
      </c>
      <c r="P302" s="9" t="str">
        <f aca="false">IF(K302&gt;0,J302/K302,"")</f>
        <v/>
      </c>
      <c r="Q302" s="8" t="str">
        <f aca="false">IF(B302="","",J302-J302*INDEX('Unit Economics'!$B$10:$D$10,1,B302)-I302*INDEX('Unit Economics'!$B$11:$D$11,1,B302)-L302)</f>
        <v/>
      </c>
      <c r="R302" s="8" t="str">
        <f aca="false">IF(B302="","",Q302-K302*(1+INDEX('Unit Economics'!$B$12:$D$12,1,B302)))</f>
        <v/>
      </c>
      <c r="S302" s="3" t="str">
        <f aca="false">IF(O302="","",IF(O302&lt;=INDEX('Unit Economics'!$B$19:$D$19,1,B302),"Scale",IF(O302&lt;=INDEX('Unit Economics'!$B$18:$D$18,1,B302),"Keep","Losing money")))</f>
        <v/>
      </c>
    </row>
    <row r="303" customFormat="false" ht="15" hidden="false" customHeight="true" outlineLevel="0" collapsed="false">
      <c r="J303" s="15"/>
      <c r="K303" s="15"/>
      <c r="L303" s="15"/>
      <c r="M303" s="14" t="str">
        <f aca="false">IF(E303&gt;0,F303/E303,"")</f>
        <v/>
      </c>
      <c r="N303" s="14" t="str">
        <f aca="false">IF(G303&gt;0,I303/G303,"")</f>
        <v/>
      </c>
      <c r="O303" s="8" t="str">
        <f aca="false">IF(AND(I303&gt;0,K303&gt;0),K303/I303,"")</f>
        <v/>
      </c>
      <c r="P303" s="9" t="str">
        <f aca="false">IF(K303&gt;0,J303/K303,"")</f>
        <v/>
      </c>
      <c r="Q303" s="8" t="str">
        <f aca="false">IF(B303="","",J303-J303*INDEX('Unit Economics'!$B$10:$D$10,1,B303)-I303*INDEX('Unit Economics'!$B$11:$D$11,1,B303)-L303)</f>
        <v/>
      </c>
      <c r="R303" s="8" t="str">
        <f aca="false">IF(B303="","",Q303-K303*(1+INDEX('Unit Economics'!$B$12:$D$12,1,B303)))</f>
        <v/>
      </c>
      <c r="S303" s="3" t="str">
        <f aca="false">IF(O303="","",IF(O303&lt;=INDEX('Unit Economics'!$B$19:$D$19,1,B303),"Scale",IF(O303&lt;=INDEX('Unit Economics'!$B$18:$D$18,1,B303),"Keep","Losing money")))</f>
        <v/>
      </c>
    </row>
    <row r="304" customFormat="false" ht="15" hidden="false" customHeight="true" outlineLevel="0" collapsed="false">
      <c r="J304" s="15"/>
      <c r="K304" s="15"/>
      <c r="L304" s="15"/>
      <c r="M304" s="14" t="str">
        <f aca="false">IF(E304&gt;0,F304/E304,"")</f>
        <v/>
      </c>
      <c r="N304" s="14" t="str">
        <f aca="false">IF(G304&gt;0,I304/G304,"")</f>
        <v/>
      </c>
      <c r="O304" s="8" t="str">
        <f aca="false">IF(AND(I304&gt;0,K304&gt;0),K304/I304,"")</f>
        <v/>
      </c>
      <c r="P304" s="9" t="str">
        <f aca="false">IF(K304&gt;0,J304/K304,"")</f>
        <v/>
      </c>
      <c r="Q304" s="8" t="str">
        <f aca="false">IF(B304="","",J304-J304*INDEX('Unit Economics'!$B$10:$D$10,1,B304)-I304*INDEX('Unit Economics'!$B$11:$D$11,1,B304)-L304)</f>
        <v/>
      </c>
      <c r="R304" s="8" t="str">
        <f aca="false">IF(B304="","",Q304-K304*(1+INDEX('Unit Economics'!$B$12:$D$12,1,B304)))</f>
        <v/>
      </c>
      <c r="S304" s="3" t="str">
        <f aca="false">IF(O304="","",IF(O304&lt;=INDEX('Unit Economics'!$B$19:$D$19,1,B304),"Scale",IF(O304&lt;=INDEX('Unit Economics'!$B$18:$D$18,1,B304),"Keep","Losing money")))</f>
        <v/>
      </c>
    </row>
    <row r="305" customFormat="false" ht="15" hidden="false" customHeight="true" outlineLevel="0" collapsed="false">
      <c r="J305" s="15"/>
      <c r="K305" s="15"/>
      <c r="L305" s="15"/>
      <c r="M305" s="14" t="str">
        <f aca="false">IF(E305&gt;0,F305/E305,"")</f>
        <v/>
      </c>
      <c r="N305" s="14" t="str">
        <f aca="false">IF(G305&gt;0,I305/G305,"")</f>
        <v/>
      </c>
      <c r="O305" s="8" t="str">
        <f aca="false">IF(AND(I305&gt;0,K305&gt;0),K305/I305,"")</f>
        <v/>
      </c>
      <c r="P305" s="9" t="str">
        <f aca="false">IF(K305&gt;0,J305/K305,"")</f>
        <v/>
      </c>
      <c r="Q305" s="8" t="str">
        <f aca="false">IF(B305="","",J305-J305*INDEX('Unit Economics'!$B$10:$D$10,1,B305)-I305*INDEX('Unit Economics'!$B$11:$D$11,1,B305)-L305)</f>
        <v/>
      </c>
      <c r="R305" s="8" t="str">
        <f aca="false">IF(B305="","",Q305-K305*(1+INDEX('Unit Economics'!$B$12:$D$12,1,B305)))</f>
        <v/>
      </c>
      <c r="S305" s="3" t="str">
        <f aca="false">IF(O305="","",IF(O305&lt;=INDEX('Unit Economics'!$B$19:$D$19,1,B305),"Scale",IF(O305&lt;=INDEX('Unit Economics'!$B$18:$D$18,1,B305),"Keep","Losing money")))</f>
        <v/>
      </c>
    </row>
    <row r="306" customFormat="false" ht="15" hidden="false" customHeight="true" outlineLevel="0" collapsed="false">
      <c r="J306" s="15"/>
      <c r="K306" s="15"/>
      <c r="L306" s="15"/>
      <c r="M306" s="14" t="str">
        <f aca="false">IF(E306&gt;0,F306/E306,"")</f>
        <v/>
      </c>
      <c r="N306" s="14" t="str">
        <f aca="false">IF(G306&gt;0,I306/G306,"")</f>
        <v/>
      </c>
      <c r="O306" s="8" t="str">
        <f aca="false">IF(AND(I306&gt;0,K306&gt;0),K306/I306,"")</f>
        <v/>
      </c>
      <c r="P306" s="9" t="str">
        <f aca="false">IF(K306&gt;0,J306/K306,"")</f>
        <v/>
      </c>
      <c r="Q306" s="8" t="str">
        <f aca="false">IF(B306="","",J306-J306*INDEX('Unit Economics'!$B$10:$D$10,1,B306)-I306*INDEX('Unit Economics'!$B$11:$D$11,1,B306)-L306)</f>
        <v/>
      </c>
      <c r="R306" s="8" t="str">
        <f aca="false">IF(B306="","",Q306-K306*(1+INDEX('Unit Economics'!$B$12:$D$12,1,B306)))</f>
        <v/>
      </c>
      <c r="S306" s="3" t="str">
        <f aca="false">IF(O306="","",IF(O306&lt;=INDEX('Unit Economics'!$B$19:$D$19,1,B306),"Scale",IF(O306&lt;=INDEX('Unit Economics'!$B$18:$D$18,1,B306),"Keep","Losing money")))</f>
        <v/>
      </c>
    </row>
    <row r="307" customFormat="false" ht="15" hidden="false" customHeight="true" outlineLevel="0" collapsed="false">
      <c r="J307" s="15"/>
      <c r="K307" s="15"/>
      <c r="L307" s="15"/>
      <c r="M307" s="14" t="str">
        <f aca="false">IF(E307&gt;0,F307/E307,"")</f>
        <v/>
      </c>
      <c r="N307" s="14" t="str">
        <f aca="false">IF(G307&gt;0,I307/G307,"")</f>
        <v/>
      </c>
      <c r="O307" s="8" t="str">
        <f aca="false">IF(AND(I307&gt;0,K307&gt;0),K307/I307,"")</f>
        <v/>
      </c>
      <c r="P307" s="9" t="str">
        <f aca="false">IF(K307&gt;0,J307/K307,"")</f>
        <v/>
      </c>
      <c r="Q307" s="8" t="str">
        <f aca="false">IF(B307="","",J307-J307*INDEX('Unit Economics'!$B$10:$D$10,1,B307)-I307*INDEX('Unit Economics'!$B$11:$D$11,1,B307)-L307)</f>
        <v/>
      </c>
      <c r="R307" s="8" t="str">
        <f aca="false">IF(B307="","",Q307-K307*(1+INDEX('Unit Economics'!$B$12:$D$12,1,B307)))</f>
        <v/>
      </c>
      <c r="S307" s="3" t="str">
        <f aca="false">IF(O307="","",IF(O307&lt;=INDEX('Unit Economics'!$B$19:$D$19,1,B307),"Scale",IF(O307&lt;=INDEX('Unit Economics'!$B$18:$D$18,1,B307),"Keep","Losing money")))</f>
        <v/>
      </c>
    </row>
    <row r="308" customFormat="false" ht="15" hidden="false" customHeight="true" outlineLevel="0" collapsed="false">
      <c r="J308" s="15"/>
      <c r="K308" s="15"/>
      <c r="L308" s="15"/>
      <c r="M308" s="14" t="str">
        <f aca="false">IF(E308&gt;0,F308/E308,"")</f>
        <v/>
      </c>
      <c r="N308" s="14" t="str">
        <f aca="false">IF(G308&gt;0,I308/G308,"")</f>
        <v/>
      </c>
      <c r="O308" s="8" t="str">
        <f aca="false">IF(AND(I308&gt;0,K308&gt;0),K308/I308,"")</f>
        <v/>
      </c>
      <c r="P308" s="9" t="str">
        <f aca="false">IF(K308&gt;0,J308/K308,"")</f>
        <v/>
      </c>
      <c r="Q308" s="8" t="str">
        <f aca="false">IF(B308="","",J308-J308*INDEX('Unit Economics'!$B$10:$D$10,1,B308)-I308*INDEX('Unit Economics'!$B$11:$D$11,1,B308)-L308)</f>
        <v/>
      </c>
      <c r="R308" s="8" t="str">
        <f aca="false">IF(B308="","",Q308-K308*(1+INDEX('Unit Economics'!$B$12:$D$12,1,B308)))</f>
        <v/>
      </c>
      <c r="S308" s="3" t="str">
        <f aca="false">IF(O308="","",IF(O308&lt;=INDEX('Unit Economics'!$B$19:$D$19,1,B308),"Scale",IF(O308&lt;=INDEX('Unit Economics'!$B$18:$D$18,1,B308),"Keep","Losing money")))</f>
        <v/>
      </c>
    </row>
    <row r="309" customFormat="false" ht="15" hidden="false" customHeight="true" outlineLevel="0" collapsed="false">
      <c r="J309" s="15"/>
      <c r="K309" s="15"/>
      <c r="L309" s="15"/>
      <c r="M309" s="14" t="str">
        <f aca="false">IF(E309&gt;0,F309/E309,"")</f>
        <v/>
      </c>
      <c r="N309" s="14" t="str">
        <f aca="false">IF(G309&gt;0,I309/G309,"")</f>
        <v/>
      </c>
      <c r="O309" s="8" t="str">
        <f aca="false">IF(AND(I309&gt;0,K309&gt;0),K309/I309,"")</f>
        <v/>
      </c>
      <c r="P309" s="9" t="str">
        <f aca="false">IF(K309&gt;0,J309/K309,"")</f>
        <v/>
      </c>
      <c r="Q309" s="8" t="str">
        <f aca="false">IF(B309="","",J309-J309*INDEX('Unit Economics'!$B$10:$D$10,1,B309)-I309*INDEX('Unit Economics'!$B$11:$D$11,1,B309)-L309)</f>
        <v/>
      </c>
      <c r="R309" s="8" t="str">
        <f aca="false">IF(B309="","",Q309-K309*(1+INDEX('Unit Economics'!$B$12:$D$12,1,B309)))</f>
        <v/>
      </c>
      <c r="S309" s="3" t="str">
        <f aca="false">IF(O309="","",IF(O309&lt;=INDEX('Unit Economics'!$B$19:$D$19,1,B309),"Scale",IF(O309&lt;=INDEX('Unit Economics'!$B$18:$D$18,1,B309),"Keep","Losing money")))</f>
        <v/>
      </c>
    </row>
    <row r="310" customFormat="false" ht="15" hidden="false" customHeight="true" outlineLevel="0" collapsed="false">
      <c r="J310" s="15"/>
      <c r="K310" s="15"/>
      <c r="L310" s="15"/>
      <c r="M310" s="14" t="str">
        <f aca="false">IF(E310&gt;0,F310/E310,"")</f>
        <v/>
      </c>
      <c r="N310" s="14" t="str">
        <f aca="false">IF(G310&gt;0,I310/G310,"")</f>
        <v/>
      </c>
      <c r="O310" s="8" t="str">
        <f aca="false">IF(AND(I310&gt;0,K310&gt;0),K310/I310,"")</f>
        <v/>
      </c>
      <c r="P310" s="9" t="str">
        <f aca="false">IF(K310&gt;0,J310/K310,"")</f>
        <v/>
      </c>
      <c r="Q310" s="8" t="str">
        <f aca="false">IF(B310="","",J310-J310*INDEX('Unit Economics'!$B$10:$D$10,1,B310)-I310*INDEX('Unit Economics'!$B$11:$D$11,1,B310)-L310)</f>
        <v/>
      </c>
      <c r="R310" s="8" t="str">
        <f aca="false">IF(B310="","",Q310-K310*(1+INDEX('Unit Economics'!$B$12:$D$12,1,B310)))</f>
        <v/>
      </c>
      <c r="S310" s="3" t="str">
        <f aca="false">IF(O310="","",IF(O310&lt;=INDEX('Unit Economics'!$B$19:$D$19,1,B310),"Scale",IF(O310&lt;=INDEX('Unit Economics'!$B$18:$D$18,1,B310),"Keep","Losing money")))</f>
        <v/>
      </c>
    </row>
    <row r="311" customFormat="false" ht="15" hidden="false" customHeight="true" outlineLevel="0" collapsed="false">
      <c r="J311" s="15"/>
      <c r="K311" s="15"/>
      <c r="L311" s="15"/>
      <c r="M311" s="14" t="str">
        <f aca="false">IF(E311&gt;0,F311/E311,"")</f>
        <v/>
      </c>
      <c r="N311" s="14" t="str">
        <f aca="false">IF(G311&gt;0,I311/G311,"")</f>
        <v/>
      </c>
      <c r="O311" s="8" t="str">
        <f aca="false">IF(AND(I311&gt;0,K311&gt;0),K311/I311,"")</f>
        <v/>
      </c>
      <c r="P311" s="9" t="str">
        <f aca="false">IF(K311&gt;0,J311/K311,"")</f>
        <v/>
      </c>
      <c r="Q311" s="8" t="str">
        <f aca="false">IF(B311="","",J311-J311*INDEX('Unit Economics'!$B$10:$D$10,1,B311)-I311*INDEX('Unit Economics'!$B$11:$D$11,1,B311)-L311)</f>
        <v/>
      </c>
      <c r="R311" s="8" t="str">
        <f aca="false">IF(B311="","",Q311-K311*(1+INDEX('Unit Economics'!$B$12:$D$12,1,B311)))</f>
        <v/>
      </c>
      <c r="S311" s="3" t="str">
        <f aca="false">IF(O311="","",IF(O311&lt;=INDEX('Unit Economics'!$B$19:$D$19,1,B311),"Scale",IF(O311&lt;=INDEX('Unit Economics'!$B$18:$D$18,1,B311),"Keep","Losing money")))</f>
        <v/>
      </c>
    </row>
    <row r="312" customFormat="false" ht="15" hidden="false" customHeight="true" outlineLevel="0" collapsed="false">
      <c r="J312" s="15"/>
      <c r="K312" s="15"/>
      <c r="L312" s="15"/>
      <c r="M312" s="14" t="str">
        <f aca="false">IF(E312&gt;0,F312/E312,"")</f>
        <v/>
      </c>
      <c r="N312" s="14" t="str">
        <f aca="false">IF(G312&gt;0,I312/G312,"")</f>
        <v/>
      </c>
      <c r="O312" s="8" t="str">
        <f aca="false">IF(AND(I312&gt;0,K312&gt;0),K312/I312,"")</f>
        <v/>
      </c>
      <c r="P312" s="9" t="str">
        <f aca="false">IF(K312&gt;0,J312/K312,"")</f>
        <v/>
      </c>
      <c r="Q312" s="8" t="str">
        <f aca="false">IF(B312="","",J312-J312*INDEX('Unit Economics'!$B$10:$D$10,1,B312)-I312*INDEX('Unit Economics'!$B$11:$D$11,1,B312)-L312)</f>
        <v/>
      </c>
      <c r="R312" s="8" t="str">
        <f aca="false">IF(B312="","",Q312-K312*(1+INDEX('Unit Economics'!$B$12:$D$12,1,B312)))</f>
        <v/>
      </c>
      <c r="S312" s="3" t="str">
        <f aca="false">IF(O312="","",IF(O312&lt;=INDEX('Unit Economics'!$B$19:$D$19,1,B312),"Scale",IF(O312&lt;=INDEX('Unit Economics'!$B$18:$D$18,1,B312),"Keep","Losing money")))</f>
        <v/>
      </c>
    </row>
    <row r="313" customFormat="false" ht="15" hidden="false" customHeight="true" outlineLevel="0" collapsed="false">
      <c r="J313" s="15"/>
      <c r="K313" s="15"/>
      <c r="L313" s="15"/>
      <c r="M313" s="14" t="str">
        <f aca="false">IF(E313&gt;0,F313/E313,"")</f>
        <v/>
      </c>
      <c r="N313" s="14" t="str">
        <f aca="false">IF(G313&gt;0,I313/G313,"")</f>
        <v/>
      </c>
      <c r="O313" s="8" t="str">
        <f aca="false">IF(AND(I313&gt;0,K313&gt;0),K313/I313,"")</f>
        <v/>
      </c>
      <c r="P313" s="9" t="str">
        <f aca="false">IF(K313&gt;0,J313/K313,"")</f>
        <v/>
      </c>
      <c r="Q313" s="8" t="str">
        <f aca="false">IF(B313="","",J313-J313*INDEX('Unit Economics'!$B$10:$D$10,1,B313)-I313*INDEX('Unit Economics'!$B$11:$D$11,1,B313)-L313)</f>
        <v/>
      </c>
      <c r="R313" s="8" t="str">
        <f aca="false">IF(B313="","",Q313-K313*(1+INDEX('Unit Economics'!$B$12:$D$12,1,B313)))</f>
        <v/>
      </c>
      <c r="S313" s="3" t="str">
        <f aca="false">IF(O313="","",IF(O313&lt;=INDEX('Unit Economics'!$B$19:$D$19,1,B313),"Scale",IF(O313&lt;=INDEX('Unit Economics'!$B$18:$D$18,1,B313),"Keep","Losing money")))</f>
        <v/>
      </c>
    </row>
    <row r="314" customFormat="false" ht="15" hidden="false" customHeight="true" outlineLevel="0" collapsed="false">
      <c r="J314" s="15"/>
      <c r="K314" s="15"/>
      <c r="L314" s="15"/>
      <c r="M314" s="14" t="str">
        <f aca="false">IF(E314&gt;0,F314/E314,"")</f>
        <v/>
      </c>
      <c r="N314" s="14" t="str">
        <f aca="false">IF(G314&gt;0,I314/G314,"")</f>
        <v/>
      </c>
      <c r="O314" s="8" t="str">
        <f aca="false">IF(AND(I314&gt;0,K314&gt;0),K314/I314,"")</f>
        <v/>
      </c>
      <c r="P314" s="9" t="str">
        <f aca="false">IF(K314&gt;0,J314/K314,"")</f>
        <v/>
      </c>
      <c r="Q314" s="8" t="str">
        <f aca="false">IF(B314="","",J314-J314*INDEX('Unit Economics'!$B$10:$D$10,1,B314)-I314*INDEX('Unit Economics'!$B$11:$D$11,1,B314)-L314)</f>
        <v/>
      </c>
      <c r="R314" s="8" t="str">
        <f aca="false">IF(B314="","",Q314-K314*(1+INDEX('Unit Economics'!$B$12:$D$12,1,B314)))</f>
        <v/>
      </c>
      <c r="S314" s="3" t="str">
        <f aca="false">IF(O314="","",IF(O314&lt;=INDEX('Unit Economics'!$B$19:$D$19,1,B314),"Scale",IF(O314&lt;=INDEX('Unit Economics'!$B$18:$D$18,1,B314),"Keep","Losing money")))</f>
        <v/>
      </c>
    </row>
    <row r="315" customFormat="false" ht="15" hidden="false" customHeight="true" outlineLevel="0" collapsed="false">
      <c r="J315" s="15"/>
      <c r="K315" s="15"/>
      <c r="L315" s="15"/>
      <c r="M315" s="14" t="str">
        <f aca="false">IF(E315&gt;0,F315/E315,"")</f>
        <v/>
      </c>
      <c r="N315" s="14" t="str">
        <f aca="false">IF(G315&gt;0,I315/G315,"")</f>
        <v/>
      </c>
      <c r="O315" s="8" t="str">
        <f aca="false">IF(AND(I315&gt;0,K315&gt;0),K315/I315,"")</f>
        <v/>
      </c>
      <c r="P315" s="9" t="str">
        <f aca="false">IF(K315&gt;0,J315/K315,"")</f>
        <v/>
      </c>
      <c r="Q315" s="8" t="str">
        <f aca="false">IF(B315="","",J315-J315*INDEX('Unit Economics'!$B$10:$D$10,1,B315)-I315*INDEX('Unit Economics'!$B$11:$D$11,1,B315)-L315)</f>
        <v/>
      </c>
      <c r="R315" s="8" t="str">
        <f aca="false">IF(B315="","",Q315-K315*(1+INDEX('Unit Economics'!$B$12:$D$12,1,B315)))</f>
        <v/>
      </c>
      <c r="S315" s="3" t="str">
        <f aca="false">IF(O315="","",IF(O315&lt;=INDEX('Unit Economics'!$B$19:$D$19,1,B315),"Scale",IF(O315&lt;=INDEX('Unit Economics'!$B$18:$D$18,1,B315),"Keep","Losing money")))</f>
        <v/>
      </c>
    </row>
    <row r="316" customFormat="false" ht="15" hidden="false" customHeight="true" outlineLevel="0" collapsed="false">
      <c r="J316" s="15"/>
      <c r="K316" s="15"/>
      <c r="L316" s="15"/>
      <c r="M316" s="14" t="str">
        <f aca="false">IF(E316&gt;0,F316/E316,"")</f>
        <v/>
      </c>
      <c r="N316" s="14" t="str">
        <f aca="false">IF(G316&gt;0,I316/G316,"")</f>
        <v/>
      </c>
      <c r="O316" s="8" t="str">
        <f aca="false">IF(AND(I316&gt;0,K316&gt;0),K316/I316,"")</f>
        <v/>
      </c>
      <c r="P316" s="9" t="str">
        <f aca="false">IF(K316&gt;0,J316/K316,"")</f>
        <v/>
      </c>
      <c r="Q316" s="8" t="str">
        <f aca="false">IF(B316="","",J316-J316*INDEX('Unit Economics'!$B$10:$D$10,1,B316)-I316*INDEX('Unit Economics'!$B$11:$D$11,1,B316)-L316)</f>
        <v/>
      </c>
      <c r="R316" s="8" t="str">
        <f aca="false">IF(B316="","",Q316-K316*(1+INDEX('Unit Economics'!$B$12:$D$12,1,B316)))</f>
        <v/>
      </c>
      <c r="S316" s="3" t="str">
        <f aca="false">IF(O316="","",IF(O316&lt;=INDEX('Unit Economics'!$B$19:$D$19,1,B316),"Scale",IF(O316&lt;=INDEX('Unit Economics'!$B$18:$D$18,1,B316),"Keep","Losing money")))</f>
        <v/>
      </c>
    </row>
    <row r="317" customFormat="false" ht="15" hidden="false" customHeight="true" outlineLevel="0" collapsed="false">
      <c r="J317" s="15"/>
      <c r="K317" s="15"/>
      <c r="L317" s="15"/>
      <c r="M317" s="14" t="str">
        <f aca="false">IF(E317&gt;0,F317/E317,"")</f>
        <v/>
      </c>
      <c r="N317" s="14" t="str">
        <f aca="false">IF(G317&gt;0,I317/G317,"")</f>
        <v/>
      </c>
      <c r="O317" s="8" t="str">
        <f aca="false">IF(AND(I317&gt;0,K317&gt;0),K317/I317,"")</f>
        <v/>
      </c>
      <c r="P317" s="9" t="str">
        <f aca="false">IF(K317&gt;0,J317/K317,"")</f>
        <v/>
      </c>
      <c r="Q317" s="8" t="str">
        <f aca="false">IF(B317="","",J317-J317*INDEX('Unit Economics'!$B$10:$D$10,1,B317)-I317*INDEX('Unit Economics'!$B$11:$D$11,1,B317)-L317)</f>
        <v/>
      </c>
      <c r="R317" s="8" t="str">
        <f aca="false">IF(B317="","",Q317-K317*(1+INDEX('Unit Economics'!$B$12:$D$12,1,B317)))</f>
        <v/>
      </c>
      <c r="S317" s="3" t="str">
        <f aca="false">IF(O317="","",IF(O317&lt;=INDEX('Unit Economics'!$B$19:$D$19,1,B317),"Scale",IF(O317&lt;=INDEX('Unit Economics'!$B$18:$D$18,1,B317),"Keep","Losing money")))</f>
        <v/>
      </c>
    </row>
    <row r="318" customFormat="false" ht="15" hidden="false" customHeight="true" outlineLevel="0" collapsed="false">
      <c r="J318" s="15"/>
      <c r="K318" s="15"/>
      <c r="L318" s="15"/>
      <c r="M318" s="14" t="str">
        <f aca="false">IF(E318&gt;0,F318/E318,"")</f>
        <v/>
      </c>
      <c r="N318" s="14" t="str">
        <f aca="false">IF(G318&gt;0,I318/G318,"")</f>
        <v/>
      </c>
      <c r="O318" s="8" t="str">
        <f aca="false">IF(AND(I318&gt;0,K318&gt;0),K318/I318,"")</f>
        <v/>
      </c>
      <c r="P318" s="9" t="str">
        <f aca="false">IF(K318&gt;0,J318/K318,"")</f>
        <v/>
      </c>
      <c r="Q318" s="8" t="str">
        <f aca="false">IF(B318="","",J318-J318*INDEX('Unit Economics'!$B$10:$D$10,1,B318)-I318*INDEX('Unit Economics'!$B$11:$D$11,1,B318)-L318)</f>
        <v/>
      </c>
      <c r="R318" s="8" t="str">
        <f aca="false">IF(B318="","",Q318-K318*(1+INDEX('Unit Economics'!$B$12:$D$12,1,B318)))</f>
        <v/>
      </c>
      <c r="S318" s="3" t="str">
        <f aca="false">IF(O318="","",IF(O318&lt;=INDEX('Unit Economics'!$B$19:$D$19,1,B318),"Scale",IF(O318&lt;=INDEX('Unit Economics'!$B$18:$D$18,1,B318),"Keep","Losing money")))</f>
        <v/>
      </c>
    </row>
    <row r="319" customFormat="false" ht="15" hidden="false" customHeight="true" outlineLevel="0" collapsed="false">
      <c r="J319" s="15"/>
      <c r="K319" s="15"/>
      <c r="L319" s="15"/>
      <c r="M319" s="14" t="str">
        <f aca="false">IF(E319&gt;0,F319/E319,"")</f>
        <v/>
      </c>
      <c r="N319" s="14" t="str">
        <f aca="false">IF(G319&gt;0,I319/G319,"")</f>
        <v/>
      </c>
      <c r="O319" s="8" t="str">
        <f aca="false">IF(AND(I319&gt;0,K319&gt;0),K319/I319,"")</f>
        <v/>
      </c>
      <c r="P319" s="9" t="str">
        <f aca="false">IF(K319&gt;0,J319/K319,"")</f>
        <v/>
      </c>
      <c r="Q319" s="8" t="str">
        <f aca="false">IF(B319="","",J319-J319*INDEX('Unit Economics'!$B$10:$D$10,1,B319)-I319*INDEX('Unit Economics'!$B$11:$D$11,1,B319)-L319)</f>
        <v/>
      </c>
      <c r="R319" s="8" t="str">
        <f aca="false">IF(B319="","",Q319-K319*(1+INDEX('Unit Economics'!$B$12:$D$12,1,B319)))</f>
        <v/>
      </c>
      <c r="S319" s="3" t="str">
        <f aca="false">IF(O319="","",IF(O319&lt;=INDEX('Unit Economics'!$B$19:$D$19,1,B319),"Scale",IF(O319&lt;=INDEX('Unit Economics'!$B$18:$D$18,1,B319),"Keep","Losing money")))</f>
        <v/>
      </c>
    </row>
    <row r="320" customFormat="false" ht="15" hidden="false" customHeight="true" outlineLevel="0" collapsed="false">
      <c r="J320" s="15"/>
      <c r="K320" s="15"/>
      <c r="L320" s="15"/>
      <c r="M320" s="14" t="str">
        <f aca="false">IF(E320&gt;0,F320/E320,"")</f>
        <v/>
      </c>
      <c r="N320" s="14" t="str">
        <f aca="false">IF(G320&gt;0,I320/G320,"")</f>
        <v/>
      </c>
      <c r="O320" s="8" t="str">
        <f aca="false">IF(AND(I320&gt;0,K320&gt;0),K320/I320,"")</f>
        <v/>
      </c>
      <c r="P320" s="9" t="str">
        <f aca="false">IF(K320&gt;0,J320/K320,"")</f>
        <v/>
      </c>
      <c r="Q320" s="8" t="str">
        <f aca="false">IF(B320="","",J320-J320*INDEX('Unit Economics'!$B$10:$D$10,1,B320)-I320*INDEX('Unit Economics'!$B$11:$D$11,1,B320)-L320)</f>
        <v/>
      </c>
      <c r="R320" s="8" t="str">
        <f aca="false">IF(B320="","",Q320-K320*(1+INDEX('Unit Economics'!$B$12:$D$12,1,B320)))</f>
        <v/>
      </c>
      <c r="S320" s="3" t="str">
        <f aca="false">IF(O320="","",IF(O320&lt;=INDEX('Unit Economics'!$B$19:$D$19,1,B320),"Scale",IF(O320&lt;=INDEX('Unit Economics'!$B$18:$D$18,1,B320),"Keep","Losing money")))</f>
        <v/>
      </c>
    </row>
    <row r="321" customFormat="false" ht="15" hidden="false" customHeight="true" outlineLevel="0" collapsed="false">
      <c r="J321" s="15"/>
      <c r="K321" s="15"/>
      <c r="L321" s="15"/>
      <c r="M321" s="14" t="str">
        <f aca="false">IF(E321&gt;0,F321/E321,"")</f>
        <v/>
      </c>
      <c r="N321" s="14" t="str">
        <f aca="false">IF(G321&gt;0,I321/G321,"")</f>
        <v/>
      </c>
      <c r="O321" s="8" t="str">
        <f aca="false">IF(AND(I321&gt;0,K321&gt;0),K321/I321,"")</f>
        <v/>
      </c>
      <c r="P321" s="9" t="str">
        <f aca="false">IF(K321&gt;0,J321/K321,"")</f>
        <v/>
      </c>
      <c r="Q321" s="8" t="str">
        <f aca="false">IF(B321="","",J321-J321*INDEX('Unit Economics'!$B$10:$D$10,1,B321)-I321*INDEX('Unit Economics'!$B$11:$D$11,1,B321)-L321)</f>
        <v/>
      </c>
      <c r="R321" s="8" t="str">
        <f aca="false">IF(B321="","",Q321-K321*(1+INDEX('Unit Economics'!$B$12:$D$12,1,B321)))</f>
        <v/>
      </c>
      <c r="S321" s="3" t="str">
        <f aca="false">IF(O321="","",IF(O321&lt;=INDEX('Unit Economics'!$B$19:$D$19,1,B321),"Scale",IF(O321&lt;=INDEX('Unit Economics'!$B$18:$D$18,1,B321),"Keep","Losing money")))</f>
        <v/>
      </c>
    </row>
    <row r="322" customFormat="false" ht="15" hidden="false" customHeight="true" outlineLevel="0" collapsed="false">
      <c r="J322" s="15"/>
      <c r="K322" s="15"/>
      <c r="L322" s="15"/>
      <c r="M322" s="14" t="str">
        <f aca="false">IF(E322&gt;0,F322/E322,"")</f>
        <v/>
      </c>
      <c r="N322" s="14" t="str">
        <f aca="false">IF(G322&gt;0,I322/G322,"")</f>
        <v/>
      </c>
      <c r="O322" s="8" t="str">
        <f aca="false">IF(AND(I322&gt;0,K322&gt;0),K322/I322,"")</f>
        <v/>
      </c>
      <c r="P322" s="9" t="str">
        <f aca="false">IF(K322&gt;0,J322/K322,"")</f>
        <v/>
      </c>
      <c r="Q322" s="8" t="str">
        <f aca="false">IF(B322="","",J322-J322*INDEX('Unit Economics'!$B$10:$D$10,1,B322)-I322*INDEX('Unit Economics'!$B$11:$D$11,1,B322)-L322)</f>
        <v/>
      </c>
      <c r="R322" s="8" t="str">
        <f aca="false">IF(B322="","",Q322-K322*(1+INDEX('Unit Economics'!$B$12:$D$12,1,B322)))</f>
        <v/>
      </c>
      <c r="S322" s="3" t="str">
        <f aca="false">IF(O322="","",IF(O322&lt;=INDEX('Unit Economics'!$B$19:$D$19,1,B322),"Scale",IF(O322&lt;=INDEX('Unit Economics'!$B$18:$D$18,1,B322),"Keep","Losing money")))</f>
        <v/>
      </c>
    </row>
    <row r="323" customFormat="false" ht="15" hidden="false" customHeight="true" outlineLevel="0" collapsed="false">
      <c r="J323" s="15"/>
      <c r="K323" s="15"/>
      <c r="L323" s="15"/>
      <c r="M323" s="14" t="str">
        <f aca="false">IF(E323&gt;0,F323/E323,"")</f>
        <v/>
      </c>
      <c r="N323" s="14" t="str">
        <f aca="false">IF(G323&gt;0,I323/G323,"")</f>
        <v/>
      </c>
      <c r="O323" s="8" t="str">
        <f aca="false">IF(AND(I323&gt;0,K323&gt;0),K323/I323,"")</f>
        <v/>
      </c>
      <c r="P323" s="9" t="str">
        <f aca="false">IF(K323&gt;0,J323/K323,"")</f>
        <v/>
      </c>
      <c r="Q323" s="8" t="str">
        <f aca="false">IF(B323="","",J323-J323*INDEX('Unit Economics'!$B$10:$D$10,1,B323)-I323*INDEX('Unit Economics'!$B$11:$D$11,1,B323)-L323)</f>
        <v/>
      </c>
      <c r="R323" s="8" t="str">
        <f aca="false">IF(B323="","",Q323-K323*(1+INDEX('Unit Economics'!$B$12:$D$12,1,B323)))</f>
        <v/>
      </c>
      <c r="S323" s="3" t="str">
        <f aca="false">IF(O323="","",IF(O323&lt;=INDEX('Unit Economics'!$B$19:$D$19,1,B323),"Scale",IF(O323&lt;=INDEX('Unit Economics'!$B$18:$D$18,1,B323),"Keep","Losing money")))</f>
        <v/>
      </c>
    </row>
    <row r="324" customFormat="false" ht="15" hidden="false" customHeight="true" outlineLevel="0" collapsed="false">
      <c r="J324" s="15"/>
      <c r="K324" s="15"/>
      <c r="L324" s="15"/>
      <c r="M324" s="14" t="str">
        <f aca="false">IF(E324&gt;0,F324/E324,"")</f>
        <v/>
      </c>
      <c r="N324" s="14" t="str">
        <f aca="false">IF(G324&gt;0,I324/G324,"")</f>
        <v/>
      </c>
      <c r="O324" s="8" t="str">
        <f aca="false">IF(AND(I324&gt;0,K324&gt;0),K324/I324,"")</f>
        <v/>
      </c>
      <c r="P324" s="9" t="str">
        <f aca="false">IF(K324&gt;0,J324/K324,"")</f>
        <v/>
      </c>
      <c r="Q324" s="8" t="str">
        <f aca="false">IF(B324="","",J324-J324*INDEX('Unit Economics'!$B$10:$D$10,1,B324)-I324*INDEX('Unit Economics'!$B$11:$D$11,1,B324)-L324)</f>
        <v/>
      </c>
      <c r="R324" s="8" t="str">
        <f aca="false">IF(B324="","",Q324-K324*(1+INDEX('Unit Economics'!$B$12:$D$12,1,B324)))</f>
        <v/>
      </c>
      <c r="S324" s="3" t="str">
        <f aca="false">IF(O324="","",IF(O324&lt;=INDEX('Unit Economics'!$B$19:$D$19,1,B324),"Scale",IF(O324&lt;=INDEX('Unit Economics'!$B$18:$D$18,1,B324),"Keep","Losing money")))</f>
        <v/>
      </c>
    </row>
    <row r="325" customFormat="false" ht="15" hidden="false" customHeight="true" outlineLevel="0" collapsed="false">
      <c r="J325" s="15"/>
      <c r="K325" s="15"/>
      <c r="L325" s="15"/>
      <c r="M325" s="14" t="str">
        <f aca="false">IF(E325&gt;0,F325/E325,"")</f>
        <v/>
      </c>
      <c r="N325" s="14" t="str">
        <f aca="false">IF(G325&gt;0,I325/G325,"")</f>
        <v/>
      </c>
      <c r="O325" s="8" t="str">
        <f aca="false">IF(AND(I325&gt;0,K325&gt;0),K325/I325,"")</f>
        <v/>
      </c>
      <c r="P325" s="9" t="str">
        <f aca="false">IF(K325&gt;0,J325/K325,"")</f>
        <v/>
      </c>
      <c r="Q325" s="8" t="str">
        <f aca="false">IF(B325="","",J325-J325*INDEX('Unit Economics'!$B$10:$D$10,1,B325)-I325*INDEX('Unit Economics'!$B$11:$D$11,1,B325)-L325)</f>
        <v/>
      </c>
      <c r="R325" s="8" t="str">
        <f aca="false">IF(B325="","",Q325-K325*(1+INDEX('Unit Economics'!$B$12:$D$12,1,B325)))</f>
        <v/>
      </c>
      <c r="S325" s="3" t="str">
        <f aca="false">IF(O325="","",IF(O325&lt;=INDEX('Unit Economics'!$B$19:$D$19,1,B325),"Scale",IF(O325&lt;=INDEX('Unit Economics'!$B$18:$D$18,1,B325),"Keep","Losing money")))</f>
        <v/>
      </c>
    </row>
    <row r="326" customFormat="false" ht="15" hidden="false" customHeight="true" outlineLevel="0" collapsed="false">
      <c r="J326" s="15"/>
      <c r="K326" s="15"/>
      <c r="L326" s="15"/>
      <c r="M326" s="14" t="str">
        <f aca="false">IF(E326&gt;0,F326/E326,"")</f>
        <v/>
      </c>
      <c r="N326" s="14" t="str">
        <f aca="false">IF(G326&gt;0,I326/G326,"")</f>
        <v/>
      </c>
      <c r="O326" s="8" t="str">
        <f aca="false">IF(AND(I326&gt;0,K326&gt;0),K326/I326,"")</f>
        <v/>
      </c>
      <c r="P326" s="9" t="str">
        <f aca="false">IF(K326&gt;0,J326/K326,"")</f>
        <v/>
      </c>
      <c r="Q326" s="8" t="str">
        <f aca="false">IF(B326="","",J326-J326*INDEX('Unit Economics'!$B$10:$D$10,1,B326)-I326*INDEX('Unit Economics'!$B$11:$D$11,1,B326)-L326)</f>
        <v/>
      </c>
      <c r="R326" s="8" t="str">
        <f aca="false">IF(B326="","",Q326-K326*(1+INDEX('Unit Economics'!$B$12:$D$12,1,B326)))</f>
        <v/>
      </c>
      <c r="S326" s="3" t="str">
        <f aca="false">IF(O326="","",IF(O326&lt;=INDEX('Unit Economics'!$B$19:$D$19,1,B326),"Scale",IF(O326&lt;=INDEX('Unit Economics'!$B$18:$D$18,1,B326),"Keep","Losing money")))</f>
        <v/>
      </c>
    </row>
    <row r="327" customFormat="false" ht="15" hidden="false" customHeight="true" outlineLevel="0" collapsed="false">
      <c r="J327" s="15"/>
      <c r="K327" s="15"/>
      <c r="L327" s="15"/>
      <c r="M327" s="14" t="str">
        <f aca="false">IF(E327&gt;0,F327/E327,"")</f>
        <v/>
      </c>
      <c r="N327" s="14" t="str">
        <f aca="false">IF(G327&gt;0,I327/G327,"")</f>
        <v/>
      </c>
      <c r="O327" s="8" t="str">
        <f aca="false">IF(AND(I327&gt;0,K327&gt;0),K327/I327,"")</f>
        <v/>
      </c>
      <c r="P327" s="9" t="str">
        <f aca="false">IF(K327&gt;0,J327/K327,"")</f>
        <v/>
      </c>
      <c r="Q327" s="8" t="str">
        <f aca="false">IF(B327="","",J327-J327*INDEX('Unit Economics'!$B$10:$D$10,1,B327)-I327*INDEX('Unit Economics'!$B$11:$D$11,1,B327)-L327)</f>
        <v/>
      </c>
      <c r="R327" s="8" t="str">
        <f aca="false">IF(B327="","",Q327-K327*(1+INDEX('Unit Economics'!$B$12:$D$12,1,B327)))</f>
        <v/>
      </c>
      <c r="S327" s="3" t="str">
        <f aca="false">IF(O327="","",IF(O327&lt;=INDEX('Unit Economics'!$B$19:$D$19,1,B327),"Scale",IF(O327&lt;=INDEX('Unit Economics'!$B$18:$D$18,1,B327),"Keep","Losing money")))</f>
        <v/>
      </c>
    </row>
    <row r="328" customFormat="false" ht="15" hidden="false" customHeight="true" outlineLevel="0" collapsed="false">
      <c r="J328" s="15"/>
      <c r="K328" s="15"/>
      <c r="L328" s="15"/>
      <c r="M328" s="14" t="str">
        <f aca="false">IF(E328&gt;0,F328/E328,"")</f>
        <v/>
      </c>
      <c r="N328" s="14" t="str">
        <f aca="false">IF(G328&gt;0,I328/G328,"")</f>
        <v/>
      </c>
      <c r="O328" s="8" t="str">
        <f aca="false">IF(AND(I328&gt;0,K328&gt;0),K328/I328,"")</f>
        <v/>
      </c>
      <c r="P328" s="9" t="str">
        <f aca="false">IF(K328&gt;0,J328/K328,"")</f>
        <v/>
      </c>
      <c r="Q328" s="8" t="str">
        <f aca="false">IF(B328="","",J328-J328*INDEX('Unit Economics'!$B$10:$D$10,1,B328)-I328*INDEX('Unit Economics'!$B$11:$D$11,1,B328)-L328)</f>
        <v/>
      </c>
      <c r="R328" s="8" t="str">
        <f aca="false">IF(B328="","",Q328-K328*(1+INDEX('Unit Economics'!$B$12:$D$12,1,B328)))</f>
        <v/>
      </c>
      <c r="S328" s="3" t="str">
        <f aca="false">IF(O328="","",IF(O328&lt;=INDEX('Unit Economics'!$B$19:$D$19,1,B328),"Scale",IF(O328&lt;=INDEX('Unit Economics'!$B$18:$D$18,1,B328),"Keep","Losing money")))</f>
        <v/>
      </c>
    </row>
    <row r="329" customFormat="false" ht="15" hidden="false" customHeight="true" outlineLevel="0" collapsed="false">
      <c r="J329" s="15"/>
      <c r="K329" s="15"/>
      <c r="L329" s="15"/>
      <c r="M329" s="14" t="str">
        <f aca="false">IF(E329&gt;0,F329/E329,"")</f>
        <v/>
      </c>
      <c r="N329" s="14" t="str">
        <f aca="false">IF(G329&gt;0,I329/G329,"")</f>
        <v/>
      </c>
      <c r="O329" s="8" t="str">
        <f aca="false">IF(AND(I329&gt;0,K329&gt;0),K329/I329,"")</f>
        <v/>
      </c>
      <c r="P329" s="9" t="str">
        <f aca="false">IF(K329&gt;0,J329/K329,"")</f>
        <v/>
      </c>
      <c r="Q329" s="8" t="str">
        <f aca="false">IF(B329="","",J329-J329*INDEX('Unit Economics'!$B$10:$D$10,1,B329)-I329*INDEX('Unit Economics'!$B$11:$D$11,1,B329)-L329)</f>
        <v/>
      </c>
      <c r="R329" s="8" t="str">
        <f aca="false">IF(B329="","",Q329-K329*(1+INDEX('Unit Economics'!$B$12:$D$12,1,B329)))</f>
        <v/>
      </c>
      <c r="S329" s="3" t="str">
        <f aca="false">IF(O329="","",IF(O329&lt;=INDEX('Unit Economics'!$B$19:$D$19,1,B329),"Scale",IF(O329&lt;=INDEX('Unit Economics'!$B$18:$D$18,1,B329),"Keep","Losing money")))</f>
        <v/>
      </c>
    </row>
    <row r="330" customFormat="false" ht="15" hidden="false" customHeight="true" outlineLevel="0" collapsed="false">
      <c r="J330" s="15"/>
      <c r="K330" s="15"/>
      <c r="L330" s="15"/>
      <c r="M330" s="14" t="str">
        <f aca="false">IF(E330&gt;0,F330/E330,"")</f>
        <v/>
      </c>
      <c r="N330" s="14" t="str">
        <f aca="false">IF(G330&gt;0,I330/G330,"")</f>
        <v/>
      </c>
      <c r="O330" s="8" t="str">
        <f aca="false">IF(AND(I330&gt;0,K330&gt;0),K330/I330,"")</f>
        <v/>
      </c>
      <c r="P330" s="9" t="str">
        <f aca="false">IF(K330&gt;0,J330/K330,"")</f>
        <v/>
      </c>
      <c r="Q330" s="8" t="str">
        <f aca="false">IF(B330="","",J330-J330*INDEX('Unit Economics'!$B$10:$D$10,1,B330)-I330*INDEX('Unit Economics'!$B$11:$D$11,1,B330)-L330)</f>
        <v/>
      </c>
      <c r="R330" s="8" t="str">
        <f aca="false">IF(B330="","",Q330-K330*(1+INDEX('Unit Economics'!$B$12:$D$12,1,B330)))</f>
        <v/>
      </c>
      <c r="S330" s="3" t="str">
        <f aca="false">IF(O330="","",IF(O330&lt;=INDEX('Unit Economics'!$B$19:$D$19,1,B330),"Scale",IF(O330&lt;=INDEX('Unit Economics'!$B$18:$D$18,1,B330),"Keep","Losing money")))</f>
        <v/>
      </c>
    </row>
    <row r="331" customFormat="false" ht="15" hidden="false" customHeight="true" outlineLevel="0" collapsed="false">
      <c r="J331" s="15"/>
      <c r="K331" s="15"/>
      <c r="L331" s="15"/>
      <c r="M331" s="14" t="str">
        <f aca="false">IF(E331&gt;0,F331/E331,"")</f>
        <v/>
      </c>
      <c r="N331" s="14" t="str">
        <f aca="false">IF(G331&gt;0,I331/G331,"")</f>
        <v/>
      </c>
      <c r="O331" s="8" t="str">
        <f aca="false">IF(AND(I331&gt;0,K331&gt;0),K331/I331,"")</f>
        <v/>
      </c>
      <c r="P331" s="9" t="str">
        <f aca="false">IF(K331&gt;0,J331/K331,"")</f>
        <v/>
      </c>
      <c r="Q331" s="8" t="str">
        <f aca="false">IF(B331="","",J331-J331*INDEX('Unit Economics'!$B$10:$D$10,1,B331)-I331*INDEX('Unit Economics'!$B$11:$D$11,1,B331)-L331)</f>
        <v/>
      </c>
      <c r="R331" s="8" t="str">
        <f aca="false">IF(B331="","",Q331-K331*(1+INDEX('Unit Economics'!$B$12:$D$12,1,B331)))</f>
        <v/>
      </c>
      <c r="S331" s="3" t="str">
        <f aca="false">IF(O331="","",IF(O331&lt;=INDEX('Unit Economics'!$B$19:$D$19,1,B331),"Scale",IF(O331&lt;=INDEX('Unit Economics'!$B$18:$D$18,1,B331),"Keep","Losing money")))</f>
        <v/>
      </c>
    </row>
    <row r="332" customFormat="false" ht="15" hidden="false" customHeight="true" outlineLevel="0" collapsed="false">
      <c r="J332" s="15"/>
      <c r="K332" s="15"/>
      <c r="L332" s="15"/>
      <c r="M332" s="14" t="str">
        <f aca="false">IF(E332&gt;0,F332/E332,"")</f>
        <v/>
      </c>
      <c r="N332" s="14" t="str">
        <f aca="false">IF(G332&gt;0,I332/G332,"")</f>
        <v/>
      </c>
      <c r="O332" s="8" t="str">
        <f aca="false">IF(AND(I332&gt;0,K332&gt;0),K332/I332,"")</f>
        <v/>
      </c>
      <c r="P332" s="9" t="str">
        <f aca="false">IF(K332&gt;0,J332/K332,"")</f>
        <v/>
      </c>
      <c r="Q332" s="8" t="str">
        <f aca="false">IF(B332="","",J332-J332*INDEX('Unit Economics'!$B$10:$D$10,1,B332)-I332*INDEX('Unit Economics'!$B$11:$D$11,1,B332)-L332)</f>
        <v/>
      </c>
      <c r="R332" s="8" t="str">
        <f aca="false">IF(B332="","",Q332-K332*(1+INDEX('Unit Economics'!$B$12:$D$12,1,B332)))</f>
        <v/>
      </c>
      <c r="S332" s="3" t="str">
        <f aca="false">IF(O332="","",IF(O332&lt;=INDEX('Unit Economics'!$B$19:$D$19,1,B332),"Scale",IF(O332&lt;=INDEX('Unit Economics'!$B$18:$D$18,1,B332),"Keep","Losing money")))</f>
        <v/>
      </c>
    </row>
    <row r="333" customFormat="false" ht="15" hidden="false" customHeight="true" outlineLevel="0" collapsed="false">
      <c r="J333" s="15"/>
      <c r="K333" s="15"/>
      <c r="L333" s="15"/>
      <c r="M333" s="14" t="str">
        <f aca="false">IF(E333&gt;0,F333/E333,"")</f>
        <v/>
      </c>
      <c r="N333" s="14" t="str">
        <f aca="false">IF(G333&gt;0,I333/G333,"")</f>
        <v/>
      </c>
      <c r="O333" s="8" t="str">
        <f aca="false">IF(AND(I333&gt;0,K333&gt;0),K333/I333,"")</f>
        <v/>
      </c>
      <c r="P333" s="9" t="str">
        <f aca="false">IF(K333&gt;0,J333/K333,"")</f>
        <v/>
      </c>
      <c r="Q333" s="8" t="str">
        <f aca="false">IF(B333="","",J333-J333*INDEX('Unit Economics'!$B$10:$D$10,1,B333)-I333*INDEX('Unit Economics'!$B$11:$D$11,1,B333)-L333)</f>
        <v/>
      </c>
      <c r="R333" s="8" t="str">
        <f aca="false">IF(B333="","",Q333-K333*(1+INDEX('Unit Economics'!$B$12:$D$12,1,B333)))</f>
        <v/>
      </c>
      <c r="S333" s="3" t="str">
        <f aca="false">IF(O333="","",IF(O333&lt;=INDEX('Unit Economics'!$B$19:$D$19,1,B333),"Scale",IF(O333&lt;=INDEX('Unit Economics'!$B$18:$D$18,1,B333),"Keep","Losing money")))</f>
        <v/>
      </c>
    </row>
    <row r="334" customFormat="false" ht="15" hidden="false" customHeight="true" outlineLevel="0" collapsed="false">
      <c r="J334" s="15"/>
      <c r="K334" s="15"/>
      <c r="L334" s="15"/>
      <c r="M334" s="14" t="str">
        <f aca="false">IF(E334&gt;0,F334/E334,"")</f>
        <v/>
      </c>
      <c r="N334" s="14" t="str">
        <f aca="false">IF(G334&gt;0,I334/G334,"")</f>
        <v/>
      </c>
      <c r="O334" s="8" t="str">
        <f aca="false">IF(AND(I334&gt;0,K334&gt;0),K334/I334,"")</f>
        <v/>
      </c>
      <c r="P334" s="9" t="str">
        <f aca="false">IF(K334&gt;0,J334/K334,"")</f>
        <v/>
      </c>
      <c r="Q334" s="8" t="str">
        <f aca="false">IF(B334="","",J334-J334*INDEX('Unit Economics'!$B$10:$D$10,1,B334)-I334*INDEX('Unit Economics'!$B$11:$D$11,1,B334)-L334)</f>
        <v/>
      </c>
      <c r="R334" s="8" t="str">
        <f aca="false">IF(B334="","",Q334-K334*(1+INDEX('Unit Economics'!$B$12:$D$12,1,B334)))</f>
        <v/>
      </c>
      <c r="S334" s="3" t="str">
        <f aca="false">IF(O334="","",IF(O334&lt;=INDEX('Unit Economics'!$B$19:$D$19,1,B334),"Scale",IF(O334&lt;=INDEX('Unit Economics'!$B$18:$D$18,1,B334),"Keep","Losing money")))</f>
        <v/>
      </c>
    </row>
    <row r="335" customFormat="false" ht="15" hidden="false" customHeight="true" outlineLevel="0" collapsed="false">
      <c r="J335" s="15"/>
      <c r="K335" s="15"/>
      <c r="L335" s="15"/>
      <c r="M335" s="14" t="str">
        <f aca="false">IF(E335&gt;0,F335/E335,"")</f>
        <v/>
      </c>
      <c r="N335" s="14" t="str">
        <f aca="false">IF(G335&gt;0,I335/G335,"")</f>
        <v/>
      </c>
      <c r="O335" s="8" t="str">
        <f aca="false">IF(AND(I335&gt;0,K335&gt;0),K335/I335,"")</f>
        <v/>
      </c>
      <c r="P335" s="9" t="str">
        <f aca="false">IF(K335&gt;0,J335/K335,"")</f>
        <v/>
      </c>
      <c r="Q335" s="8" t="str">
        <f aca="false">IF(B335="","",J335-J335*INDEX('Unit Economics'!$B$10:$D$10,1,B335)-I335*INDEX('Unit Economics'!$B$11:$D$11,1,B335)-L335)</f>
        <v/>
      </c>
      <c r="R335" s="8" t="str">
        <f aca="false">IF(B335="","",Q335-K335*(1+INDEX('Unit Economics'!$B$12:$D$12,1,B335)))</f>
        <v/>
      </c>
      <c r="S335" s="3" t="str">
        <f aca="false">IF(O335="","",IF(O335&lt;=INDEX('Unit Economics'!$B$19:$D$19,1,B335),"Scale",IF(O335&lt;=INDEX('Unit Economics'!$B$18:$D$18,1,B335),"Keep","Losing money")))</f>
        <v/>
      </c>
    </row>
    <row r="336" customFormat="false" ht="15" hidden="false" customHeight="true" outlineLevel="0" collapsed="false">
      <c r="J336" s="15"/>
      <c r="K336" s="15"/>
      <c r="L336" s="15"/>
      <c r="M336" s="14" t="str">
        <f aca="false">IF(E336&gt;0,F336/E336,"")</f>
        <v/>
      </c>
      <c r="N336" s="14" t="str">
        <f aca="false">IF(G336&gt;0,I336/G336,"")</f>
        <v/>
      </c>
      <c r="O336" s="8" t="str">
        <f aca="false">IF(AND(I336&gt;0,K336&gt;0),K336/I336,"")</f>
        <v/>
      </c>
      <c r="P336" s="9" t="str">
        <f aca="false">IF(K336&gt;0,J336/K336,"")</f>
        <v/>
      </c>
      <c r="Q336" s="8" t="str">
        <f aca="false">IF(B336="","",J336-J336*INDEX('Unit Economics'!$B$10:$D$10,1,B336)-I336*INDEX('Unit Economics'!$B$11:$D$11,1,B336)-L336)</f>
        <v/>
      </c>
      <c r="R336" s="8" t="str">
        <f aca="false">IF(B336="","",Q336-K336*(1+INDEX('Unit Economics'!$B$12:$D$12,1,B336)))</f>
        <v/>
      </c>
      <c r="S336" s="3" t="str">
        <f aca="false">IF(O336="","",IF(O336&lt;=INDEX('Unit Economics'!$B$19:$D$19,1,B336),"Scale",IF(O336&lt;=INDEX('Unit Economics'!$B$18:$D$18,1,B336),"Keep","Losing money")))</f>
        <v/>
      </c>
    </row>
    <row r="337" customFormat="false" ht="15" hidden="false" customHeight="true" outlineLevel="0" collapsed="false">
      <c r="J337" s="15"/>
      <c r="K337" s="15"/>
      <c r="L337" s="15"/>
      <c r="M337" s="14" t="str">
        <f aca="false">IF(E337&gt;0,F337/E337,"")</f>
        <v/>
      </c>
      <c r="N337" s="14" t="str">
        <f aca="false">IF(G337&gt;0,I337/G337,"")</f>
        <v/>
      </c>
      <c r="O337" s="8" t="str">
        <f aca="false">IF(AND(I337&gt;0,K337&gt;0),K337/I337,"")</f>
        <v/>
      </c>
      <c r="P337" s="9" t="str">
        <f aca="false">IF(K337&gt;0,J337/K337,"")</f>
        <v/>
      </c>
      <c r="Q337" s="8" t="str">
        <f aca="false">IF(B337="","",J337-J337*INDEX('Unit Economics'!$B$10:$D$10,1,B337)-I337*INDEX('Unit Economics'!$B$11:$D$11,1,B337)-L337)</f>
        <v/>
      </c>
      <c r="R337" s="8" t="str">
        <f aca="false">IF(B337="","",Q337-K337*(1+INDEX('Unit Economics'!$B$12:$D$12,1,B337)))</f>
        <v/>
      </c>
      <c r="S337" s="3" t="str">
        <f aca="false">IF(O337="","",IF(O337&lt;=INDEX('Unit Economics'!$B$19:$D$19,1,B337),"Scale",IF(O337&lt;=INDEX('Unit Economics'!$B$18:$D$18,1,B337),"Keep","Losing money")))</f>
        <v/>
      </c>
    </row>
    <row r="338" customFormat="false" ht="15" hidden="false" customHeight="true" outlineLevel="0" collapsed="false">
      <c r="J338" s="15"/>
      <c r="K338" s="15"/>
      <c r="L338" s="15"/>
      <c r="M338" s="14" t="str">
        <f aca="false">IF(E338&gt;0,F338/E338,"")</f>
        <v/>
      </c>
      <c r="N338" s="14" t="str">
        <f aca="false">IF(G338&gt;0,I338/G338,"")</f>
        <v/>
      </c>
      <c r="O338" s="8" t="str">
        <f aca="false">IF(AND(I338&gt;0,K338&gt;0),K338/I338,"")</f>
        <v/>
      </c>
      <c r="P338" s="9" t="str">
        <f aca="false">IF(K338&gt;0,J338/K338,"")</f>
        <v/>
      </c>
      <c r="Q338" s="8" t="str">
        <f aca="false">IF(B338="","",J338-J338*INDEX('Unit Economics'!$B$10:$D$10,1,B338)-I338*INDEX('Unit Economics'!$B$11:$D$11,1,B338)-L338)</f>
        <v/>
      </c>
      <c r="R338" s="8" t="str">
        <f aca="false">IF(B338="","",Q338-K338*(1+INDEX('Unit Economics'!$B$12:$D$12,1,B338)))</f>
        <v/>
      </c>
      <c r="S338" s="3" t="str">
        <f aca="false">IF(O338="","",IF(O338&lt;=INDEX('Unit Economics'!$B$19:$D$19,1,B338),"Scale",IF(O338&lt;=INDEX('Unit Economics'!$B$18:$D$18,1,B338),"Keep","Losing money")))</f>
        <v/>
      </c>
    </row>
    <row r="339" customFormat="false" ht="15" hidden="false" customHeight="true" outlineLevel="0" collapsed="false">
      <c r="J339" s="15"/>
      <c r="K339" s="15"/>
      <c r="L339" s="15"/>
      <c r="M339" s="14" t="str">
        <f aca="false">IF(E339&gt;0,F339/E339,"")</f>
        <v/>
      </c>
      <c r="N339" s="14" t="str">
        <f aca="false">IF(G339&gt;0,I339/G339,"")</f>
        <v/>
      </c>
      <c r="O339" s="8" t="str">
        <f aca="false">IF(AND(I339&gt;0,K339&gt;0),K339/I339,"")</f>
        <v/>
      </c>
      <c r="P339" s="9" t="str">
        <f aca="false">IF(K339&gt;0,J339/K339,"")</f>
        <v/>
      </c>
      <c r="Q339" s="8" t="str">
        <f aca="false">IF(B339="","",J339-J339*INDEX('Unit Economics'!$B$10:$D$10,1,B339)-I339*INDEX('Unit Economics'!$B$11:$D$11,1,B339)-L339)</f>
        <v/>
      </c>
      <c r="R339" s="8" t="str">
        <f aca="false">IF(B339="","",Q339-K339*(1+INDEX('Unit Economics'!$B$12:$D$12,1,B339)))</f>
        <v/>
      </c>
      <c r="S339" s="3" t="str">
        <f aca="false">IF(O339="","",IF(O339&lt;=INDEX('Unit Economics'!$B$19:$D$19,1,B339),"Scale",IF(O339&lt;=INDEX('Unit Economics'!$B$18:$D$18,1,B339),"Keep","Losing money")))</f>
        <v/>
      </c>
    </row>
    <row r="340" customFormat="false" ht="15" hidden="false" customHeight="true" outlineLevel="0" collapsed="false">
      <c r="J340" s="15"/>
      <c r="K340" s="15"/>
      <c r="L340" s="15"/>
      <c r="M340" s="14" t="str">
        <f aca="false">IF(E340&gt;0,F340/E340,"")</f>
        <v/>
      </c>
      <c r="N340" s="14" t="str">
        <f aca="false">IF(G340&gt;0,I340/G340,"")</f>
        <v/>
      </c>
      <c r="O340" s="8" t="str">
        <f aca="false">IF(AND(I340&gt;0,K340&gt;0),K340/I340,"")</f>
        <v/>
      </c>
      <c r="P340" s="9" t="str">
        <f aca="false">IF(K340&gt;0,J340/K340,"")</f>
        <v/>
      </c>
      <c r="Q340" s="8" t="str">
        <f aca="false">IF(B340="","",J340-J340*INDEX('Unit Economics'!$B$10:$D$10,1,B340)-I340*INDEX('Unit Economics'!$B$11:$D$11,1,B340)-L340)</f>
        <v/>
      </c>
      <c r="R340" s="8" t="str">
        <f aca="false">IF(B340="","",Q340-K340*(1+INDEX('Unit Economics'!$B$12:$D$12,1,B340)))</f>
        <v/>
      </c>
      <c r="S340" s="3" t="str">
        <f aca="false">IF(O340="","",IF(O340&lt;=INDEX('Unit Economics'!$B$19:$D$19,1,B340),"Scale",IF(O340&lt;=INDEX('Unit Economics'!$B$18:$D$18,1,B340),"Keep","Losing money")))</f>
        <v/>
      </c>
    </row>
    <row r="341" customFormat="false" ht="15" hidden="false" customHeight="true" outlineLevel="0" collapsed="false">
      <c r="J341" s="15"/>
      <c r="K341" s="15"/>
      <c r="L341" s="15"/>
      <c r="M341" s="14" t="str">
        <f aca="false">IF(E341&gt;0,F341/E341,"")</f>
        <v/>
      </c>
      <c r="N341" s="14" t="str">
        <f aca="false">IF(G341&gt;0,I341/G341,"")</f>
        <v/>
      </c>
      <c r="O341" s="8" t="str">
        <f aca="false">IF(AND(I341&gt;0,K341&gt;0),K341/I341,"")</f>
        <v/>
      </c>
      <c r="P341" s="9" t="str">
        <f aca="false">IF(K341&gt;0,J341/K341,"")</f>
        <v/>
      </c>
      <c r="Q341" s="8" t="str">
        <f aca="false">IF(B341="","",J341-J341*INDEX('Unit Economics'!$B$10:$D$10,1,B341)-I341*INDEX('Unit Economics'!$B$11:$D$11,1,B341)-L341)</f>
        <v/>
      </c>
      <c r="R341" s="8" t="str">
        <f aca="false">IF(B341="","",Q341-K341*(1+INDEX('Unit Economics'!$B$12:$D$12,1,B341)))</f>
        <v/>
      </c>
      <c r="S341" s="3" t="str">
        <f aca="false">IF(O341="","",IF(O341&lt;=INDEX('Unit Economics'!$B$19:$D$19,1,B341),"Scale",IF(O341&lt;=INDEX('Unit Economics'!$B$18:$D$18,1,B341),"Keep","Losing money")))</f>
        <v/>
      </c>
    </row>
    <row r="342" customFormat="false" ht="15" hidden="false" customHeight="true" outlineLevel="0" collapsed="false">
      <c r="J342" s="15"/>
      <c r="K342" s="15"/>
      <c r="L342" s="15"/>
      <c r="M342" s="14" t="str">
        <f aca="false">IF(E342&gt;0,F342/E342,"")</f>
        <v/>
      </c>
      <c r="N342" s="14" t="str">
        <f aca="false">IF(G342&gt;0,I342/G342,"")</f>
        <v/>
      </c>
      <c r="O342" s="8" t="str">
        <f aca="false">IF(AND(I342&gt;0,K342&gt;0),K342/I342,"")</f>
        <v/>
      </c>
      <c r="P342" s="9" t="str">
        <f aca="false">IF(K342&gt;0,J342/K342,"")</f>
        <v/>
      </c>
      <c r="Q342" s="8" t="str">
        <f aca="false">IF(B342="","",J342-J342*INDEX('Unit Economics'!$B$10:$D$10,1,B342)-I342*INDEX('Unit Economics'!$B$11:$D$11,1,B342)-L342)</f>
        <v/>
      </c>
      <c r="R342" s="8" t="str">
        <f aca="false">IF(B342="","",Q342-K342*(1+INDEX('Unit Economics'!$B$12:$D$12,1,B342)))</f>
        <v/>
      </c>
      <c r="S342" s="3" t="str">
        <f aca="false">IF(O342="","",IF(O342&lt;=INDEX('Unit Economics'!$B$19:$D$19,1,B342),"Scale",IF(O342&lt;=INDEX('Unit Economics'!$B$18:$D$18,1,B342),"Keep","Losing money")))</f>
        <v/>
      </c>
    </row>
    <row r="343" customFormat="false" ht="15" hidden="false" customHeight="true" outlineLevel="0" collapsed="false">
      <c r="J343" s="15"/>
      <c r="K343" s="15"/>
      <c r="L343" s="15"/>
      <c r="M343" s="14" t="str">
        <f aca="false">IF(E343&gt;0,F343/E343,"")</f>
        <v/>
      </c>
      <c r="N343" s="14" t="str">
        <f aca="false">IF(G343&gt;0,I343/G343,"")</f>
        <v/>
      </c>
      <c r="O343" s="8" t="str">
        <f aca="false">IF(AND(I343&gt;0,K343&gt;0),K343/I343,"")</f>
        <v/>
      </c>
      <c r="P343" s="9" t="str">
        <f aca="false">IF(K343&gt;0,J343/K343,"")</f>
        <v/>
      </c>
      <c r="Q343" s="8" t="str">
        <f aca="false">IF(B343="","",J343-J343*INDEX('Unit Economics'!$B$10:$D$10,1,B343)-I343*INDEX('Unit Economics'!$B$11:$D$11,1,B343)-L343)</f>
        <v/>
      </c>
      <c r="R343" s="8" t="str">
        <f aca="false">IF(B343="","",Q343-K343*(1+INDEX('Unit Economics'!$B$12:$D$12,1,B343)))</f>
        <v/>
      </c>
      <c r="S343" s="3" t="str">
        <f aca="false">IF(O343="","",IF(O343&lt;=INDEX('Unit Economics'!$B$19:$D$19,1,B343),"Scale",IF(O343&lt;=INDEX('Unit Economics'!$B$18:$D$18,1,B343),"Keep","Losing money")))</f>
        <v/>
      </c>
    </row>
    <row r="344" customFormat="false" ht="15" hidden="false" customHeight="true" outlineLevel="0" collapsed="false">
      <c r="J344" s="15"/>
      <c r="K344" s="15"/>
      <c r="L344" s="15"/>
      <c r="M344" s="14" t="str">
        <f aca="false">IF(E344&gt;0,F344/E344,"")</f>
        <v/>
      </c>
      <c r="N344" s="14" t="str">
        <f aca="false">IF(G344&gt;0,I344/G344,"")</f>
        <v/>
      </c>
      <c r="O344" s="8" t="str">
        <f aca="false">IF(AND(I344&gt;0,K344&gt;0),K344/I344,"")</f>
        <v/>
      </c>
      <c r="P344" s="9" t="str">
        <f aca="false">IF(K344&gt;0,J344/K344,"")</f>
        <v/>
      </c>
      <c r="Q344" s="8" t="str">
        <f aca="false">IF(B344="","",J344-J344*INDEX('Unit Economics'!$B$10:$D$10,1,B344)-I344*INDEX('Unit Economics'!$B$11:$D$11,1,B344)-L344)</f>
        <v/>
      </c>
      <c r="R344" s="8" t="str">
        <f aca="false">IF(B344="","",Q344-K344*(1+INDEX('Unit Economics'!$B$12:$D$12,1,B344)))</f>
        <v/>
      </c>
      <c r="S344" s="3" t="str">
        <f aca="false">IF(O344="","",IF(O344&lt;=INDEX('Unit Economics'!$B$19:$D$19,1,B344),"Scale",IF(O344&lt;=INDEX('Unit Economics'!$B$18:$D$18,1,B344),"Keep","Losing money")))</f>
        <v/>
      </c>
    </row>
    <row r="345" customFormat="false" ht="15" hidden="false" customHeight="true" outlineLevel="0" collapsed="false">
      <c r="J345" s="15"/>
      <c r="K345" s="15"/>
      <c r="L345" s="15"/>
      <c r="M345" s="14" t="str">
        <f aca="false">IF(E345&gt;0,F345/E345,"")</f>
        <v/>
      </c>
      <c r="N345" s="14" t="str">
        <f aca="false">IF(G345&gt;0,I345/G345,"")</f>
        <v/>
      </c>
      <c r="O345" s="8" t="str">
        <f aca="false">IF(AND(I345&gt;0,K345&gt;0),K345/I345,"")</f>
        <v/>
      </c>
      <c r="P345" s="9" t="str">
        <f aca="false">IF(K345&gt;0,J345/K345,"")</f>
        <v/>
      </c>
      <c r="Q345" s="8" t="str">
        <f aca="false">IF(B345="","",J345-J345*INDEX('Unit Economics'!$B$10:$D$10,1,B345)-I345*INDEX('Unit Economics'!$B$11:$D$11,1,B345)-L345)</f>
        <v/>
      </c>
      <c r="R345" s="8" t="str">
        <f aca="false">IF(B345="","",Q345-K345*(1+INDEX('Unit Economics'!$B$12:$D$12,1,B345)))</f>
        <v/>
      </c>
      <c r="S345" s="3" t="str">
        <f aca="false">IF(O345="","",IF(O345&lt;=INDEX('Unit Economics'!$B$19:$D$19,1,B345),"Scale",IF(O345&lt;=INDEX('Unit Economics'!$B$18:$D$18,1,B345),"Keep","Losing money")))</f>
        <v/>
      </c>
    </row>
    <row r="346" customFormat="false" ht="15" hidden="false" customHeight="true" outlineLevel="0" collapsed="false">
      <c r="J346" s="15"/>
      <c r="K346" s="15"/>
      <c r="L346" s="15"/>
      <c r="M346" s="14" t="str">
        <f aca="false">IF(E346&gt;0,F346/E346,"")</f>
        <v/>
      </c>
      <c r="N346" s="14" t="str">
        <f aca="false">IF(G346&gt;0,I346/G346,"")</f>
        <v/>
      </c>
      <c r="O346" s="8" t="str">
        <f aca="false">IF(AND(I346&gt;0,K346&gt;0),K346/I346,"")</f>
        <v/>
      </c>
      <c r="P346" s="9" t="str">
        <f aca="false">IF(K346&gt;0,J346/K346,"")</f>
        <v/>
      </c>
      <c r="Q346" s="8" t="str">
        <f aca="false">IF(B346="","",J346-J346*INDEX('Unit Economics'!$B$10:$D$10,1,B346)-I346*INDEX('Unit Economics'!$B$11:$D$11,1,B346)-L346)</f>
        <v/>
      </c>
      <c r="R346" s="8" t="str">
        <f aca="false">IF(B346="","",Q346-K346*(1+INDEX('Unit Economics'!$B$12:$D$12,1,B346)))</f>
        <v/>
      </c>
      <c r="S346" s="3" t="str">
        <f aca="false">IF(O346="","",IF(O346&lt;=INDEX('Unit Economics'!$B$19:$D$19,1,B346),"Scale",IF(O346&lt;=INDEX('Unit Economics'!$B$18:$D$18,1,B346),"Keep","Losing money")))</f>
        <v/>
      </c>
    </row>
    <row r="347" customFormat="false" ht="15" hidden="false" customHeight="true" outlineLevel="0" collapsed="false">
      <c r="J347" s="15"/>
      <c r="K347" s="15"/>
      <c r="L347" s="15"/>
      <c r="M347" s="14" t="str">
        <f aca="false">IF(E347&gt;0,F347/E347,"")</f>
        <v/>
      </c>
      <c r="N347" s="14" t="str">
        <f aca="false">IF(G347&gt;0,I347/G347,"")</f>
        <v/>
      </c>
      <c r="O347" s="8" t="str">
        <f aca="false">IF(AND(I347&gt;0,K347&gt;0),K347/I347,"")</f>
        <v/>
      </c>
      <c r="P347" s="9" t="str">
        <f aca="false">IF(K347&gt;0,J347/K347,"")</f>
        <v/>
      </c>
      <c r="Q347" s="8" t="str">
        <f aca="false">IF(B347="","",J347-J347*INDEX('Unit Economics'!$B$10:$D$10,1,B347)-I347*INDEX('Unit Economics'!$B$11:$D$11,1,B347)-L347)</f>
        <v/>
      </c>
      <c r="R347" s="8" t="str">
        <f aca="false">IF(B347="","",Q347-K347*(1+INDEX('Unit Economics'!$B$12:$D$12,1,B347)))</f>
        <v/>
      </c>
      <c r="S347" s="3" t="str">
        <f aca="false">IF(O347="","",IF(O347&lt;=INDEX('Unit Economics'!$B$19:$D$19,1,B347),"Scale",IF(O347&lt;=INDEX('Unit Economics'!$B$18:$D$18,1,B347),"Keep","Losing money")))</f>
        <v/>
      </c>
    </row>
    <row r="348" customFormat="false" ht="15" hidden="false" customHeight="true" outlineLevel="0" collapsed="false">
      <c r="J348" s="15"/>
      <c r="K348" s="15"/>
      <c r="L348" s="15"/>
      <c r="M348" s="14" t="str">
        <f aca="false">IF(E348&gt;0,F348/E348,"")</f>
        <v/>
      </c>
      <c r="N348" s="14" t="str">
        <f aca="false">IF(G348&gt;0,I348/G348,"")</f>
        <v/>
      </c>
      <c r="O348" s="8" t="str">
        <f aca="false">IF(AND(I348&gt;0,K348&gt;0),K348/I348,"")</f>
        <v/>
      </c>
      <c r="P348" s="9" t="str">
        <f aca="false">IF(K348&gt;0,J348/K348,"")</f>
        <v/>
      </c>
      <c r="Q348" s="8" t="str">
        <f aca="false">IF(B348="","",J348-J348*INDEX('Unit Economics'!$B$10:$D$10,1,B348)-I348*INDEX('Unit Economics'!$B$11:$D$11,1,B348)-L348)</f>
        <v/>
      </c>
      <c r="R348" s="8" t="str">
        <f aca="false">IF(B348="","",Q348-K348*(1+INDEX('Unit Economics'!$B$12:$D$12,1,B348)))</f>
        <v/>
      </c>
      <c r="S348" s="3" t="str">
        <f aca="false">IF(O348="","",IF(O348&lt;=INDEX('Unit Economics'!$B$19:$D$19,1,B348),"Scale",IF(O348&lt;=INDEX('Unit Economics'!$B$18:$D$18,1,B348),"Keep","Losing money")))</f>
        <v/>
      </c>
    </row>
    <row r="349" customFormat="false" ht="15" hidden="false" customHeight="true" outlineLevel="0" collapsed="false">
      <c r="J349" s="15"/>
      <c r="K349" s="15"/>
      <c r="L349" s="15"/>
      <c r="M349" s="14" t="str">
        <f aca="false">IF(E349&gt;0,F349/E349,"")</f>
        <v/>
      </c>
      <c r="N349" s="14" t="str">
        <f aca="false">IF(G349&gt;0,I349/G349,"")</f>
        <v/>
      </c>
      <c r="O349" s="8" t="str">
        <f aca="false">IF(AND(I349&gt;0,K349&gt;0),K349/I349,"")</f>
        <v/>
      </c>
      <c r="P349" s="9" t="str">
        <f aca="false">IF(K349&gt;0,J349/K349,"")</f>
        <v/>
      </c>
      <c r="Q349" s="8" t="str">
        <f aca="false">IF(B349="","",J349-J349*INDEX('Unit Economics'!$B$10:$D$10,1,B349)-I349*INDEX('Unit Economics'!$B$11:$D$11,1,B349)-L349)</f>
        <v/>
      </c>
      <c r="R349" s="8" t="str">
        <f aca="false">IF(B349="","",Q349-K349*(1+INDEX('Unit Economics'!$B$12:$D$12,1,B349)))</f>
        <v/>
      </c>
      <c r="S349" s="3" t="str">
        <f aca="false">IF(O349="","",IF(O349&lt;=INDEX('Unit Economics'!$B$19:$D$19,1,B349),"Scale",IF(O349&lt;=INDEX('Unit Economics'!$B$18:$D$18,1,B349),"Keep","Losing money")))</f>
        <v/>
      </c>
    </row>
    <row r="350" customFormat="false" ht="15" hidden="false" customHeight="true" outlineLevel="0" collapsed="false">
      <c r="J350" s="15"/>
      <c r="K350" s="15"/>
      <c r="L350" s="15"/>
      <c r="M350" s="14" t="str">
        <f aca="false">IF(E350&gt;0,F350/E350,"")</f>
        <v/>
      </c>
      <c r="N350" s="14" t="str">
        <f aca="false">IF(G350&gt;0,I350/G350,"")</f>
        <v/>
      </c>
      <c r="O350" s="8" t="str">
        <f aca="false">IF(AND(I350&gt;0,K350&gt;0),K350/I350,"")</f>
        <v/>
      </c>
      <c r="P350" s="9" t="str">
        <f aca="false">IF(K350&gt;0,J350/K350,"")</f>
        <v/>
      </c>
      <c r="Q350" s="8" t="str">
        <f aca="false">IF(B350="","",J350-J350*INDEX('Unit Economics'!$B$10:$D$10,1,B350)-I350*INDEX('Unit Economics'!$B$11:$D$11,1,B350)-L350)</f>
        <v/>
      </c>
      <c r="R350" s="8" t="str">
        <f aca="false">IF(B350="","",Q350-K350*(1+INDEX('Unit Economics'!$B$12:$D$12,1,B350)))</f>
        <v/>
      </c>
      <c r="S350" s="3" t="str">
        <f aca="false">IF(O350="","",IF(O350&lt;=INDEX('Unit Economics'!$B$19:$D$19,1,B350),"Scale",IF(O350&lt;=INDEX('Unit Economics'!$B$18:$D$18,1,B350),"Keep","Losing money")))</f>
        <v/>
      </c>
    </row>
    <row r="351" customFormat="false" ht="15" hidden="false" customHeight="true" outlineLevel="0" collapsed="false">
      <c r="J351" s="15"/>
      <c r="K351" s="15"/>
      <c r="L351" s="15"/>
      <c r="M351" s="14" t="str">
        <f aca="false">IF(E351&gt;0,F351/E351,"")</f>
        <v/>
      </c>
      <c r="N351" s="14" t="str">
        <f aca="false">IF(G351&gt;0,I351/G351,"")</f>
        <v/>
      </c>
      <c r="O351" s="8" t="str">
        <f aca="false">IF(AND(I351&gt;0,K351&gt;0),K351/I351,"")</f>
        <v/>
      </c>
      <c r="P351" s="9" t="str">
        <f aca="false">IF(K351&gt;0,J351/K351,"")</f>
        <v/>
      </c>
      <c r="Q351" s="8" t="str">
        <f aca="false">IF(B351="","",J351-J351*INDEX('Unit Economics'!$B$10:$D$10,1,B351)-I351*INDEX('Unit Economics'!$B$11:$D$11,1,B351)-L351)</f>
        <v/>
      </c>
      <c r="R351" s="8" t="str">
        <f aca="false">IF(B351="","",Q351-K351*(1+INDEX('Unit Economics'!$B$12:$D$12,1,B351)))</f>
        <v/>
      </c>
      <c r="S351" s="3" t="str">
        <f aca="false">IF(O351="","",IF(O351&lt;=INDEX('Unit Economics'!$B$19:$D$19,1,B351),"Scale",IF(O351&lt;=INDEX('Unit Economics'!$B$18:$D$18,1,B351),"Keep","Losing money")))</f>
        <v/>
      </c>
    </row>
    <row r="352" customFormat="false" ht="15" hidden="false" customHeight="true" outlineLevel="0" collapsed="false">
      <c r="J352" s="15"/>
      <c r="K352" s="15"/>
      <c r="L352" s="15"/>
      <c r="M352" s="14" t="str">
        <f aca="false">IF(E352&gt;0,F352/E352,"")</f>
        <v/>
      </c>
      <c r="N352" s="14" t="str">
        <f aca="false">IF(G352&gt;0,I352/G352,"")</f>
        <v/>
      </c>
      <c r="O352" s="8" t="str">
        <f aca="false">IF(AND(I352&gt;0,K352&gt;0),K352/I352,"")</f>
        <v/>
      </c>
      <c r="P352" s="9" t="str">
        <f aca="false">IF(K352&gt;0,J352/K352,"")</f>
        <v/>
      </c>
      <c r="Q352" s="8" t="str">
        <f aca="false">IF(B352="","",J352-J352*INDEX('Unit Economics'!$B$10:$D$10,1,B352)-I352*INDEX('Unit Economics'!$B$11:$D$11,1,B352)-L352)</f>
        <v/>
      </c>
      <c r="R352" s="8" t="str">
        <f aca="false">IF(B352="","",Q352-K352*(1+INDEX('Unit Economics'!$B$12:$D$12,1,B352)))</f>
        <v/>
      </c>
      <c r="S352" s="3" t="str">
        <f aca="false">IF(O352="","",IF(O352&lt;=INDEX('Unit Economics'!$B$19:$D$19,1,B352),"Scale",IF(O352&lt;=INDEX('Unit Economics'!$B$18:$D$18,1,B352),"Keep","Losing money")))</f>
        <v/>
      </c>
    </row>
    <row r="353" customFormat="false" ht="15" hidden="false" customHeight="true" outlineLevel="0" collapsed="false">
      <c r="J353" s="15"/>
      <c r="K353" s="15"/>
      <c r="L353" s="15"/>
      <c r="M353" s="14" t="str">
        <f aca="false">IF(E353&gt;0,F353/E353,"")</f>
        <v/>
      </c>
      <c r="N353" s="14" t="str">
        <f aca="false">IF(G353&gt;0,I353/G353,"")</f>
        <v/>
      </c>
      <c r="O353" s="8" t="str">
        <f aca="false">IF(AND(I353&gt;0,K353&gt;0),K353/I353,"")</f>
        <v/>
      </c>
      <c r="P353" s="9" t="str">
        <f aca="false">IF(K353&gt;0,J353/K353,"")</f>
        <v/>
      </c>
      <c r="Q353" s="8" t="str">
        <f aca="false">IF(B353="","",J353-J353*INDEX('Unit Economics'!$B$10:$D$10,1,B353)-I353*INDEX('Unit Economics'!$B$11:$D$11,1,B353)-L353)</f>
        <v/>
      </c>
      <c r="R353" s="8" t="str">
        <f aca="false">IF(B353="","",Q353-K353*(1+INDEX('Unit Economics'!$B$12:$D$12,1,B353)))</f>
        <v/>
      </c>
      <c r="S353" s="3" t="str">
        <f aca="false">IF(O353="","",IF(O353&lt;=INDEX('Unit Economics'!$B$19:$D$19,1,B353),"Scale",IF(O353&lt;=INDEX('Unit Economics'!$B$18:$D$18,1,B353),"Keep","Losing money")))</f>
        <v/>
      </c>
    </row>
    <row r="354" customFormat="false" ht="15" hidden="false" customHeight="true" outlineLevel="0" collapsed="false">
      <c r="J354" s="15"/>
      <c r="K354" s="15"/>
      <c r="L354" s="15"/>
      <c r="M354" s="14" t="str">
        <f aca="false">IF(E354&gt;0,F354/E354,"")</f>
        <v/>
      </c>
      <c r="N354" s="14" t="str">
        <f aca="false">IF(G354&gt;0,I354/G354,"")</f>
        <v/>
      </c>
      <c r="O354" s="8" t="str">
        <f aca="false">IF(AND(I354&gt;0,K354&gt;0),K354/I354,"")</f>
        <v/>
      </c>
      <c r="P354" s="9" t="str">
        <f aca="false">IF(K354&gt;0,J354/K354,"")</f>
        <v/>
      </c>
      <c r="Q354" s="8" t="str">
        <f aca="false">IF(B354="","",J354-J354*INDEX('Unit Economics'!$B$10:$D$10,1,B354)-I354*INDEX('Unit Economics'!$B$11:$D$11,1,B354)-L354)</f>
        <v/>
      </c>
      <c r="R354" s="8" t="str">
        <f aca="false">IF(B354="","",Q354-K354*(1+INDEX('Unit Economics'!$B$12:$D$12,1,B354)))</f>
        <v/>
      </c>
      <c r="S354" s="3" t="str">
        <f aca="false">IF(O354="","",IF(O354&lt;=INDEX('Unit Economics'!$B$19:$D$19,1,B354),"Scale",IF(O354&lt;=INDEX('Unit Economics'!$B$18:$D$18,1,B354),"Keep","Losing money")))</f>
        <v/>
      </c>
    </row>
    <row r="355" customFormat="false" ht="15" hidden="false" customHeight="true" outlineLevel="0" collapsed="false">
      <c r="J355" s="15"/>
      <c r="K355" s="15"/>
      <c r="L355" s="15"/>
      <c r="M355" s="14" t="str">
        <f aca="false">IF(E355&gt;0,F355/E355,"")</f>
        <v/>
      </c>
      <c r="N355" s="14" t="str">
        <f aca="false">IF(G355&gt;0,I355/G355,"")</f>
        <v/>
      </c>
      <c r="O355" s="8" t="str">
        <f aca="false">IF(AND(I355&gt;0,K355&gt;0),K355/I355,"")</f>
        <v/>
      </c>
      <c r="P355" s="9" t="str">
        <f aca="false">IF(K355&gt;0,J355/K355,"")</f>
        <v/>
      </c>
      <c r="Q355" s="8" t="str">
        <f aca="false">IF(B355="","",J355-J355*INDEX('Unit Economics'!$B$10:$D$10,1,B355)-I355*INDEX('Unit Economics'!$B$11:$D$11,1,B355)-L355)</f>
        <v/>
      </c>
      <c r="R355" s="8" t="str">
        <f aca="false">IF(B355="","",Q355-K355*(1+INDEX('Unit Economics'!$B$12:$D$12,1,B355)))</f>
        <v/>
      </c>
      <c r="S355" s="3" t="str">
        <f aca="false">IF(O355="","",IF(O355&lt;=INDEX('Unit Economics'!$B$19:$D$19,1,B355),"Scale",IF(O355&lt;=INDEX('Unit Economics'!$B$18:$D$18,1,B355),"Keep","Losing money")))</f>
        <v/>
      </c>
    </row>
    <row r="356" customFormat="false" ht="15" hidden="false" customHeight="true" outlineLevel="0" collapsed="false">
      <c r="J356" s="15"/>
      <c r="K356" s="15"/>
      <c r="L356" s="15"/>
      <c r="M356" s="14" t="str">
        <f aca="false">IF(E356&gt;0,F356/E356,"")</f>
        <v/>
      </c>
      <c r="N356" s="14" t="str">
        <f aca="false">IF(G356&gt;0,I356/G356,"")</f>
        <v/>
      </c>
      <c r="O356" s="8" t="str">
        <f aca="false">IF(AND(I356&gt;0,K356&gt;0),K356/I356,"")</f>
        <v/>
      </c>
      <c r="P356" s="9" t="str">
        <f aca="false">IF(K356&gt;0,J356/K356,"")</f>
        <v/>
      </c>
      <c r="Q356" s="8" t="str">
        <f aca="false">IF(B356="","",J356-J356*INDEX('Unit Economics'!$B$10:$D$10,1,B356)-I356*INDEX('Unit Economics'!$B$11:$D$11,1,B356)-L356)</f>
        <v/>
      </c>
      <c r="R356" s="8" t="str">
        <f aca="false">IF(B356="","",Q356-K356*(1+INDEX('Unit Economics'!$B$12:$D$12,1,B356)))</f>
        <v/>
      </c>
      <c r="S356" s="3" t="str">
        <f aca="false">IF(O356="","",IF(O356&lt;=INDEX('Unit Economics'!$B$19:$D$19,1,B356),"Scale",IF(O356&lt;=INDEX('Unit Economics'!$B$18:$D$18,1,B356),"Keep","Losing money")))</f>
        <v/>
      </c>
    </row>
    <row r="357" customFormat="false" ht="15" hidden="false" customHeight="true" outlineLevel="0" collapsed="false">
      <c r="J357" s="15"/>
      <c r="K357" s="15"/>
      <c r="L357" s="15"/>
      <c r="M357" s="14" t="str">
        <f aca="false">IF(E357&gt;0,F357/E357,"")</f>
        <v/>
      </c>
      <c r="N357" s="14" t="str">
        <f aca="false">IF(G357&gt;0,I357/G357,"")</f>
        <v/>
      </c>
      <c r="O357" s="8" t="str">
        <f aca="false">IF(AND(I357&gt;0,K357&gt;0),K357/I357,"")</f>
        <v/>
      </c>
      <c r="P357" s="9" t="str">
        <f aca="false">IF(K357&gt;0,J357/K357,"")</f>
        <v/>
      </c>
      <c r="Q357" s="8" t="str">
        <f aca="false">IF(B357="","",J357-J357*INDEX('Unit Economics'!$B$10:$D$10,1,B357)-I357*INDEX('Unit Economics'!$B$11:$D$11,1,B357)-L357)</f>
        <v/>
      </c>
      <c r="R357" s="8" t="str">
        <f aca="false">IF(B357="","",Q357-K357*(1+INDEX('Unit Economics'!$B$12:$D$12,1,B357)))</f>
        <v/>
      </c>
      <c r="S357" s="3" t="str">
        <f aca="false">IF(O357="","",IF(O357&lt;=INDEX('Unit Economics'!$B$19:$D$19,1,B357),"Scale",IF(O357&lt;=INDEX('Unit Economics'!$B$18:$D$18,1,B357),"Keep","Losing money")))</f>
        <v/>
      </c>
    </row>
    <row r="358" customFormat="false" ht="15" hidden="false" customHeight="true" outlineLevel="0" collapsed="false">
      <c r="J358" s="15"/>
      <c r="K358" s="15"/>
      <c r="L358" s="15"/>
      <c r="M358" s="14" t="str">
        <f aca="false">IF(E358&gt;0,F358/E358,"")</f>
        <v/>
      </c>
      <c r="N358" s="14" t="str">
        <f aca="false">IF(G358&gt;0,I358/G358,"")</f>
        <v/>
      </c>
      <c r="O358" s="8" t="str">
        <f aca="false">IF(AND(I358&gt;0,K358&gt;0),K358/I358,"")</f>
        <v/>
      </c>
      <c r="P358" s="9" t="str">
        <f aca="false">IF(K358&gt;0,J358/K358,"")</f>
        <v/>
      </c>
      <c r="Q358" s="8" t="str">
        <f aca="false">IF(B358="","",J358-J358*INDEX('Unit Economics'!$B$10:$D$10,1,B358)-I358*INDEX('Unit Economics'!$B$11:$D$11,1,B358)-L358)</f>
        <v/>
      </c>
      <c r="R358" s="8" t="str">
        <f aca="false">IF(B358="","",Q358-K358*(1+INDEX('Unit Economics'!$B$12:$D$12,1,B358)))</f>
        <v/>
      </c>
      <c r="S358" s="3" t="str">
        <f aca="false">IF(O358="","",IF(O358&lt;=INDEX('Unit Economics'!$B$19:$D$19,1,B358),"Scale",IF(O358&lt;=INDEX('Unit Economics'!$B$18:$D$18,1,B358),"Keep","Losing money")))</f>
        <v/>
      </c>
    </row>
    <row r="359" customFormat="false" ht="15" hidden="false" customHeight="true" outlineLevel="0" collapsed="false">
      <c r="J359" s="15"/>
      <c r="K359" s="15"/>
      <c r="L359" s="15"/>
      <c r="M359" s="14" t="str">
        <f aca="false">IF(E359&gt;0,F359/E359,"")</f>
        <v/>
      </c>
      <c r="N359" s="14" t="str">
        <f aca="false">IF(G359&gt;0,I359/G359,"")</f>
        <v/>
      </c>
      <c r="O359" s="8" t="str">
        <f aca="false">IF(AND(I359&gt;0,K359&gt;0),K359/I359,"")</f>
        <v/>
      </c>
      <c r="P359" s="9" t="str">
        <f aca="false">IF(K359&gt;0,J359/K359,"")</f>
        <v/>
      </c>
      <c r="Q359" s="8" t="str">
        <f aca="false">IF(B359="","",J359-J359*INDEX('Unit Economics'!$B$10:$D$10,1,B359)-I359*INDEX('Unit Economics'!$B$11:$D$11,1,B359)-L359)</f>
        <v/>
      </c>
      <c r="R359" s="8" t="str">
        <f aca="false">IF(B359="","",Q359-K359*(1+INDEX('Unit Economics'!$B$12:$D$12,1,B359)))</f>
        <v/>
      </c>
      <c r="S359" s="3" t="str">
        <f aca="false">IF(O359="","",IF(O359&lt;=INDEX('Unit Economics'!$B$19:$D$19,1,B359),"Scale",IF(O359&lt;=INDEX('Unit Economics'!$B$18:$D$18,1,B359),"Keep","Losing money")))</f>
        <v/>
      </c>
    </row>
    <row r="360" customFormat="false" ht="15" hidden="false" customHeight="true" outlineLevel="0" collapsed="false">
      <c r="J360" s="15"/>
      <c r="K360" s="15"/>
      <c r="L360" s="15"/>
      <c r="M360" s="14" t="str">
        <f aca="false">IF(E360&gt;0,F360/E360,"")</f>
        <v/>
      </c>
      <c r="N360" s="14" t="str">
        <f aca="false">IF(G360&gt;0,I360/G360,"")</f>
        <v/>
      </c>
      <c r="O360" s="8" t="str">
        <f aca="false">IF(AND(I360&gt;0,K360&gt;0),K360/I360,"")</f>
        <v/>
      </c>
      <c r="P360" s="9" t="str">
        <f aca="false">IF(K360&gt;0,J360/K360,"")</f>
        <v/>
      </c>
      <c r="Q360" s="8" t="str">
        <f aca="false">IF(B360="","",J360-J360*INDEX('Unit Economics'!$B$10:$D$10,1,B360)-I360*INDEX('Unit Economics'!$B$11:$D$11,1,B360)-L360)</f>
        <v/>
      </c>
      <c r="R360" s="8" t="str">
        <f aca="false">IF(B360="","",Q360-K360*(1+INDEX('Unit Economics'!$B$12:$D$12,1,B360)))</f>
        <v/>
      </c>
      <c r="S360" s="3" t="str">
        <f aca="false">IF(O360="","",IF(O360&lt;=INDEX('Unit Economics'!$B$19:$D$19,1,B360),"Scale",IF(O360&lt;=INDEX('Unit Economics'!$B$18:$D$18,1,B360),"Keep","Losing money")))</f>
        <v/>
      </c>
    </row>
    <row r="361" customFormat="false" ht="15" hidden="false" customHeight="true" outlineLevel="0" collapsed="false">
      <c r="J361" s="15"/>
      <c r="K361" s="15"/>
      <c r="L361" s="15"/>
      <c r="M361" s="14" t="str">
        <f aca="false">IF(E361&gt;0,F361/E361,"")</f>
        <v/>
      </c>
      <c r="N361" s="14" t="str">
        <f aca="false">IF(G361&gt;0,I361/G361,"")</f>
        <v/>
      </c>
      <c r="O361" s="8" t="str">
        <f aca="false">IF(AND(I361&gt;0,K361&gt;0),K361/I361,"")</f>
        <v/>
      </c>
      <c r="P361" s="9" t="str">
        <f aca="false">IF(K361&gt;0,J361/K361,"")</f>
        <v/>
      </c>
      <c r="Q361" s="8" t="str">
        <f aca="false">IF(B361="","",J361-J361*INDEX('Unit Economics'!$B$10:$D$10,1,B361)-I361*INDEX('Unit Economics'!$B$11:$D$11,1,B361)-L361)</f>
        <v/>
      </c>
      <c r="R361" s="8" t="str">
        <f aca="false">IF(B361="","",Q361-K361*(1+INDEX('Unit Economics'!$B$12:$D$12,1,B361)))</f>
        <v/>
      </c>
      <c r="S361" s="3" t="str">
        <f aca="false">IF(O361="","",IF(O361&lt;=INDEX('Unit Economics'!$B$19:$D$19,1,B361),"Scale",IF(O361&lt;=INDEX('Unit Economics'!$B$18:$D$18,1,B361),"Keep","Losing money")))</f>
        <v/>
      </c>
    </row>
    <row r="362" customFormat="false" ht="15" hidden="false" customHeight="true" outlineLevel="0" collapsed="false">
      <c r="J362" s="15"/>
      <c r="K362" s="15"/>
      <c r="L362" s="15"/>
      <c r="M362" s="14" t="str">
        <f aca="false">IF(E362&gt;0,F362/E362,"")</f>
        <v/>
      </c>
      <c r="N362" s="14" t="str">
        <f aca="false">IF(G362&gt;0,I362/G362,"")</f>
        <v/>
      </c>
      <c r="O362" s="8" t="str">
        <f aca="false">IF(AND(I362&gt;0,K362&gt;0),K362/I362,"")</f>
        <v/>
      </c>
      <c r="P362" s="9" t="str">
        <f aca="false">IF(K362&gt;0,J362/K362,"")</f>
        <v/>
      </c>
      <c r="Q362" s="8" t="str">
        <f aca="false">IF(B362="","",J362-J362*INDEX('Unit Economics'!$B$10:$D$10,1,B362)-I362*INDEX('Unit Economics'!$B$11:$D$11,1,B362)-L362)</f>
        <v/>
      </c>
      <c r="R362" s="8" t="str">
        <f aca="false">IF(B362="","",Q362-K362*(1+INDEX('Unit Economics'!$B$12:$D$12,1,B362)))</f>
        <v/>
      </c>
      <c r="S362" s="3" t="str">
        <f aca="false">IF(O362="","",IF(O362&lt;=INDEX('Unit Economics'!$B$19:$D$19,1,B362),"Scale",IF(O362&lt;=INDEX('Unit Economics'!$B$18:$D$18,1,B362),"Keep","Losing money")))</f>
        <v/>
      </c>
    </row>
    <row r="363" customFormat="false" ht="15" hidden="false" customHeight="true" outlineLevel="0" collapsed="false">
      <c r="J363" s="15"/>
      <c r="K363" s="15"/>
      <c r="L363" s="15"/>
      <c r="M363" s="14" t="str">
        <f aca="false">IF(E363&gt;0,F363/E363,"")</f>
        <v/>
      </c>
      <c r="N363" s="14" t="str">
        <f aca="false">IF(G363&gt;0,I363/G363,"")</f>
        <v/>
      </c>
      <c r="O363" s="8" t="str">
        <f aca="false">IF(AND(I363&gt;0,K363&gt;0),K363/I363,"")</f>
        <v/>
      </c>
      <c r="P363" s="9" t="str">
        <f aca="false">IF(K363&gt;0,J363/K363,"")</f>
        <v/>
      </c>
      <c r="Q363" s="8" t="str">
        <f aca="false">IF(B363="","",J363-J363*INDEX('Unit Economics'!$B$10:$D$10,1,B363)-I363*INDEX('Unit Economics'!$B$11:$D$11,1,B363)-L363)</f>
        <v/>
      </c>
      <c r="R363" s="8" t="str">
        <f aca="false">IF(B363="","",Q363-K363*(1+INDEX('Unit Economics'!$B$12:$D$12,1,B363)))</f>
        <v/>
      </c>
      <c r="S363" s="3" t="str">
        <f aca="false">IF(O363="","",IF(O363&lt;=INDEX('Unit Economics'!$B$19:$D$19,1,B363),"Scale",IF(O363&lt;=INDEX('Unit Economics'!$B$18:$D$18,1,B363),"Keep","Losing money")))</f>
        <v/>
      </c>
    </row>
    <row r="364" customFormat="false" ht="15" hidden="false" customHeight="true" outlineLevel="0" collapsed="false">
      <c r="J364" s="15"/>
      <c r="K364" s="15"/>
      <c r="L364" s="15"/>
      <c r="M364" s="14" t="str">
        <f aca="false">IF(E364&gt;0,F364/E364,"")</f>
        <v/>
      </c>
      <c r="N364" s="14" t="str">
        <f aca="false">IF(G364&gt;0,I364/G364,"")</f>
        <v/>
      </c>
      <c r="O364" s="8" t="str">
        <f aca="false">IF(AND(I364&gt;0,K364&gt;0),K364/I364,"")</f>
        <v/>
      </c>
      <c r="P364" s="9" t="str">
        <f aca="false">IF(K364&gt;0,J364/K364,"")</f>
        <v/>
      </c>
      <c r="Q364" s="8" t="str">
        <f aca="false">IF(B364="","",J364-J364*INDEX('Unit Economics'!$B$10:$D$10,1,B364)-I364*INDEX('Unit Economics'!$B$11:$D$11,1,B364)-L364)</f>
        <v/>
      </c>
      <c r="R364" s="8" t="str">
        <f aca="false">IF(B364="","",Q364-K364*(1+INDEX('Unit Economics'!$B$12:$D$12,1,B364)))</f>
        <v/>
      </c>
      <c r="S364" s="3" t="str">
        <f aca="false">IF(O364="","",IF(O364&lt;=INDEX('Unit Economics'!$B$19:$D$19,1,B364),"Scale",IF(O364&lt;=INDEX('Unit Economics'!$B$18:$D$18,1,B364),"Keep","Losing money")))</f>
        <v/>
      </c>
    </row>
    <row r="365" customFormat="false" ht="15" hidden="false" customHeight="true" outlineLevel="0" collapsed="false">
      <c r="J365" s="15"/>
      <c r="K365" s="15"/>
      <c r="L365" s="15"/>
      <c r="M365" s="14" t="str">
        <f aca="false">IF(E365&gt;0,F365/E365,"")</f>
        <v/>
      </c>
      <c r="N365" s="14" t="str">
        <f aca="false">IF(G365&gt;0,I365/G365,"")</f>
        <v/>
      </c>
      <c r="O365" s="8" t="str">
        <f aca="false">IF(AND(I365&gt;0,K365&gt;0),K365/I365,"")</f>
        <v/>
      </c>
      <c r="P365" s="9" t="str">
        <f aca="false">IF(K365&gt;0,J365/K365,"")</f>
        <v/>
      </c>
      <c r="Q365" s="8" t="str">
        <f aca="false">IF(B365="","",J365-J365*INDEX('Unit Economics'!$B$10:$D$10,1,B365)-I365*INDEX('Unit Economics'!$B$11:$D$11,1,B365)-L365)</f>
        <v/>
      </c>
      <c r="R365" s="8" t="str">
        <f aca="false">IF(B365="","",Q365-K365*(1+INDEX('Unit Economics'!$B$12:$D$12,1,B365)))</f>
        <v/>
      </c>
      <c r="S365" s="3" t="str">
        <f aca="false">IF(O365="","",IF(O365&lt;=INDEX('Unit Economics'!$B$19:$D$19,1,B365),"Scale",IF(O365&lt;=INDEX('Unit Economics'!$B$18:$D$18,1,B365),"Keep","Losing money")))</f>
        <v/>
      </c>
    </row>
    <row r="366" customFormat="false" ht="15" hidden="false" customHeight="true" outlineLevel="0" collapsed="false">
      <c r="J366" s="15"/>
      <c r="K366" s="15"/>
      <c r="L366" s="15"/>
      <c r="M366" s="14" t="str">
        <f aca="false">IF(E366&gt;0,F366/E366,"")</f>
        <v/>
      </c>
      <c r="N366" s="14" t="str">
        <f aca="false">IF(G366&gt;0,I366/G366,"")</f>
        <v/>
      </c>
      <c r="O366" s="8" t="str">
        <f aca="false">IF(AND(I366&gt;0,K366&gt;0),K366/I366,"")</f>
        <v/>
      </c>
      <c r="P366" s="9" t="str">
        <f aca="false">IF(K366&gt;0,J366/K366,"")</f>
        <v/>
      </c>
      <c r="Q366" s="8" t="str">
        <f aca="false">IF(B366="","",J366-J366*INDEX('Unit Economics'!$B$10:$D$10,1,B366)-I366*INDEX('Unit Economics'!$B$11:$D$11,1,B366)-L366)</f>
        <v/>
      </c>
      <c r="R366" s="8" t="str">
        <f aca="false">IF(B366="","",Q366-K366*(1+INDEX('Unit Economics'!$B$12:$D$12,1,B366)))</f>
        <v/>
      </c>
      <c r="S366" s="3" t="str">
        <f aca="false">IF(O366="","",IF(O366&lt;=INDEX('Unit Economics'!$B$19:$D$19,1,B366),"Scale",IF(O366&lt;=INDEX('Unit Economics'!$B$18:$D$18,1,B366),"Keep","Losing money")))</f>
        <v/>
      </c>
    </row>
    <row r="367" customFormat="false" ht="15" hidden="false" customHeight="true" outlineLevel="0" collapsed="false">
      <c r="J367" s="15"/>
      <c r="K367" s="15"/>
      <c r="L367" s="15"/>
      <c r="M367" s="14" t="str">
        <f aca="false">IF(E367&gt;0,F367/E367,"")</f>
        <v/>
      </c>
      <c r="N367" s="14" t="str">
        <f aca="false">IF(G367&gt;0,I367/G367,"")</f>
        <v/>
      </c>
      <c r="O367" s="8" t="str">
        <f aca="false">IF(AND(I367&gt;0,K367&gt;0),K367/I367,"")</f>
        <v/>
      </c>
      <c r="P367" s="9" t="str">
        <f aca="false">IF(K367&gt;0,J367/K367,"")</f>
        <v/>
      </c>
      <c r="Q367" s="8" t="str">
        <f aca="false">IF(B367="","",J367-J367*INDEX('Unit Economics'!$B$10:$D$10,1,B367)-I367*INDEX('Unit Economics'!$B$11:$D$11,1,B367)-L367)</f>
        <v/>
      </c>
      <c r="R367" s="8" t="str">
        <f aca="false">IF(B367="","",Q367-K367*(1+INDEX('Unit Economics'!$B$12:$D$12,1,B367)))</f>
        <v/>
      </c>
      <c r="S367" s="3" t="str">
        <f aca="false">IF(O367="","",IF(O367&lt;=INDEX('Unit Economics'!$B$19:$D$19,1,B367),"Scale",IF(O367&lt;=INDEX('Unit Economics'!$B$18:$D$18,1,B367),"Keep","Losing money")))</f>
        <v/>
      </c>
    </row>
    <row r="368" customFormat="false" ht="15" hidden="false" customHeight="true" outlineLevel="0" collapsed="false">
      <c r="J368" s="15"/>
      <c r="K368" s="15"/>
      <c r="L368" s="15"/>
      <c r="M368" s="14" t="str">
        <f aca="false">IF(E368&gt;0,F368/E368,"")</f>
        <v/>
      </c>
      <c r="N368" s="14" t="str">
        <f aca="false">IF(G368&gt;0,I368/G368,"")</f>
        <v/>
      </c>
      <c r="O368" s="8" t="str">
        <f aca="false">IF(AND(I368&gt;0,K368&gt;0),K368/I368,"")</f>
        <v/>
      </c>
      <c r="P368" s="9" t="str">
        <f aca="false">IF(K368&gt;0,J368/K368,"")</f>
        <v/>
      </c>
      <c r="Q368" s="8" t="str">
        <f aca="false">IF(B368="","",J368-J368*INDEX('Unit Economics'!$B$10:$D$10,1,B368)-I368*INDEX('Unit Economics'!$B$11:$D$11,1,B368)-L368)</f>
        <v/>
      </c>
      <c r="R368" s="8" t="str">
        <f aca="false">IF(B368="","",Q368-K368*(1+INDEX('Unit Economics'!$B$12:$D$12,1,B368)))</f>
        <v/>
      </c>
      <c r="S368" s="3" t="str">
        <f aca="false">IF(O368="","",IF(O368&lt;=INDEX('Unit Economics'!$B$19:$D$19,1,B368),"Scale",IF(O368&lt;=INDEX('Unit Economics'!$B$18:$D$18,1,B368),"Keep","Losing money")))</f>
        <v/>
      </c>
    </row>
    <row r="369" customFormat="false" ht="15" hidden="false" customHeight="true" outlineLevel="0" collapsed="false">
      <c r="J369" s="15"/>
      <c r="K369" s="15"/>
      <c r="L369" s="15"/>
      <c r="M369" s="14" t="str">
        <f aca="false">IF(E369&gt;0,F369/E369,"")</f>
        <v/>
      </c>
      <c r="N369" s="14" t="str">
        <f aca="false">IF(G369&gt;0,I369/G369,"")</f>
        <v/>
      </c>
      <c r="O369" s="8" t="str">
        <f aca="false">IF(AND(I369&gt;0,K369&gt;0),K369/I369,"")</f>
        <v/>
      </c>
      <c r="P369" s="9" t="str">
        <f aca="false">IF(K369&gt;0,J369/K369,"")</f>
        <v/>
      </c>
      <c r="Q369" s="8" t="str">
        <f aca="false">IF(B369="","",J369-J369*INDEX('Unit Economics'!$B$10:$D$10,1,B369)-I369*INDEX('Unit Economics'!$B$11:$D$11,1,B369)-L369)</f>
        <v/>
      </c>
      <c r="R369" s="8" t="str">
        <f aca="false">IF(B369="","",Q369-K369*(1+INDEX('Unit Economics'!$B$12:$D$12,1,B369)))</f>
        <v/>
      </c>
      <c r="S369" s="3" t="str">
        <f aca="false">IF(O369="","",IF(O369&lt;=INDEX('Unit Economics'!$B$19:$D$19,1,B369),"Scale",IF(O369&lt;=INDEX('Unit Economics'!$B$18:$D$18,1,B369),"Keep","Losing money")))</f>
        <v/>
      </c>
    </row>
    <row r="370" customFormat="false" ht="15" hidden="false" customHeight="true" outlineLevel="0" collapsed="false">
      <c r="J370" s="15"/>
      <c r="K370" s="15"/>
      <c r="L370" s="15"/>
      <c r="M370" s="14" t="str">
        <f aca="false">IF(E370&gt;0,F370/E370,"")</f>
        <v/>
      </c>
      <c r="N370" s="14" t="str">
        <f aca="false">IF(G370&gt;0,I370/G370,"")</f>
        <v/>
      </c>
      <c r="O370" s="8" t="str">
        <f aca="false">IF(AND(I370&gt;0,K370&gt;0),K370/I370,"")</f>
        <v/>
      </c>
      <c r="P370" s="9" t="str">
        <f aca="false">IF(K370&gt;0,J370/K370,"")</f>
        <v/>
      </c>
      <c r="Q370" s="8" t="str">
        <f aca="false">IF(B370="","",J370-J370*INDEX('Unit Economics'!$B$10:$D$10,1,B370)-I370*INDEX('Unit Economics'!$B$11:$D$11,1,B370)-L370)</f>
        <v/>
      </c>
      <c r="R370" s="8" t="str">
        <f aca="false">IF(B370="","",Q370-K370*(1+INDEX('Unit Economics'!$B$12:$D$12,1,B370)))</f>
        <v/>
      </c>
      <c r="S370" s="3" t="str">
        <f aca="false">IF(O370="","",IF(O370&lt;=INDEX('Unit Economics'!$B$19:$D$19,1,B370),"Scale",IF(O370&lt;=INDEX('Unit Economics'!$B$18:$D$18,1,B370),"Keep","Losing money")))</f>
        <v/>
      </c>
    </row>
    <row r="371" customFormat="false" ht="15" hidden="false" customHeight="true" outlineLevel="0" collapsed="false">
      <c r="J371" s="15"/>
      <c r="K371" s="15"/>
      <c r="L371" s="15"/>
      <c r="M371" s="14" t="str">
        <f aca="false">IF(E371&gt;0,F371/E371,"")</f>
        <v/>
      </c>
      <c r="N371" s="14" t="str">
        <f aca="false">IF(G371&gt;0,I371/G371,"")</f>
        <v/>
      </c>
      <c r="O371" s="8" t="str">
        <f aca="false">IF(AND(I371&gt;0,K371&gt;0),K371/I371,"")</f>
        <v/>
      </c>
      <c r="P371" s="9" t="str">
        <f aca="false">IF(K371&gt;0,J371/K371,"")</f>
        <v/>
      </c>
      <c r="Q371" s="8" t="str">
        <f aca="false">IF(B371="","",J371-J371*INDEX('Unit Economics'!$B$10:$D$10,1,B371)-I371*INDEX('Unit Economics'!$B$11:$D$11,1,B371)-L371)</f>
        <v/>
      </c>
      <c r="R371" s="8" t="str">
        <f aca="false">IF(B371="","",Q371-K371*(1+INDEX('Unit Economics'!$B$12:$D$12,1,B371)))</f>
        <v/>
      </c>
      <c r="S371" s="3" t="str">
        <f aca="false">IF(O371="","",IF(O371&lt;=INDEX('Unit Economics'!$B$19:$D$19,1,B371),"Scale",IF(O371&lt;=INDEX('Unit Economics'!$B$18:$D$18,1,B371),"Keep","Losing money")))</f>
        <v/>
      </c>
    </row>
    <row r="372" customFormat="false" ht="15" hidden="false" customHeight="true" outlineLevel="0" collapsed="false">
      <c r="J372" s="15"/>
      <c r="K372" s="15"/>
      <c r="L372" s="15"/>
      <c r="M372" s="14" t="str">
        <f aca="false">IF(E372&gt;0,F372/E372,"")</f>
        <v/>
      </c>
      <c r="N372" s="14" t="str">
        <f aca="false">IF(G372&gt;0,I372/G372,"")</f>
        <v/>
      </c>
      <c r="O372" s="8" t="str">
        <f aca="false">IF(AND(I372&gt;0,K372&gt;0),K372/I372,"")</f>
        <v/>
      </c>
      <c r="P372" s="9" t="str">
        <f aca="false">IF(K372&gt;0,J372/K372,"")</f>
        <v/>
      </c>
      <c r="Q372" s="8" t="str">
        <f aca="false">IF(B372="","",J372-J372*INDEX('Unit Economics'!$B$10:$D$10,1,B372)-I372*INDEX('Unit Economics'!$B$11:$D$11,1,B372)-L372)</f>
        <v/>
      </c>
      <c r="R372" s="8" t="str">
        <f aca="false">IF(B372="","",Q372-K372*(1+INDEX('Unit Economics'!$B$12:$D$12,1,B372)))</f>
        <v/>
      </c>
      <c r="S372" s="3" t="str">
        <f aca="false">IF(O372="","",IF(O372&lt;=INDEX('Unit Economics'!$B$19:$D$19,1,B372),"Scale",IF(O372&lt;=INDEX('Unit Economics'!$B$18:$D$18,1,B372),"Keep","Losing money")))</f>
        <v/>
      </c>
    </row>
    <row r="373" customFormat="false" ht="15" hidden="false" customHeight="true" outlineLevel="0" collapsed="false">
      <c r="J373" s="15"/>
      <c r="K373" s="15"/>
      <c r="L373" s="15"/>
      <c r="M373" s="14" t="str">
        <f aca="false">IF(E373&gt;0,F373/E373,"")</f>
        <v/>
      </c>
      <c r="N373" s="14" t="str">
        <f aca="false">IF(G373&gt;0,I373/G373,"")</f>
        <v/>
      </c>
      <c r="O373" s="8" t="str">
        <f aca="false">IF(AND(I373&gt;0,K373&gt;0),K373/I373,"")</f>
        <v/>
      </c>
      <c r="P373" s="9" t="str">
        <f aca="false">IF(K373&gt;0,J373/K373,"")</f>
        <v/>
      </c>
      <c r="Q373" s="8" t="str">
        <f aca="false">IF(B373="","",J373-J373*INDEX('Unit Economics'!$B$10:$D$10,1,B373)-I373*INDEX('Unit Economics'!$B$11:$D$11,1,B373)-L373)</f>
        <v/>
      </c>
      <c r="R373" s="8" t="str">
        <f aca="false">IF(B373="","",Q373-K373*(1+INDEX('Unit Economics'!$B$12:$D$12,1,B373)))</f>
        <v/>
      </c>
      <c r="S373" s="3" t="str">
        <f aca="false">IF(O373="","",IF(O373&lt;=INDEX('Unit Economics'!$B$19:$D$19,1,B373),"Scale",IF(O373&lt;=INDEX('Unit Economics'!$B$18:$D$18,1,B373),"Keep","Losing money")))</f>
        <v/>
      </c>
    </row>
    <row r="374" customFormat="false" ht="15" hidden="false" customHeight="true" outlineLevel="0" collapsed="false">
      <c r="J374" s="15"/>
      <c r="K374" s="15"/>
      <c r="L374" s="15"/>
      <c r="M374" s="14" t="str">
        <f aca="false">IF(E374&gt;0,F374/E374,"")</f>
        <v/>
      </c>
      <c r="N374" s="14" t="str">
        <f aca="false">IF(G374&gt;0,I374/G374,"")</f>
        <v/>
      </c>
      <c r="O374" s="8" t="str">
        <f aca="false">IF(AND(I374&gt;0,K374&gt;0),K374/I374,"")</f>
        <v/>
      </c>
      <c r="P374" s="9" t="str">
        <f aca="false">IF(K374&gt;0,J374/K374,"")</f>
        <v/>
      </c>
      <c r="Q374" s="8" t="str">
        <f aca="false">IF(B374="","",J374-J374*INDEX('Unit Economics'!$B$10:$D$10,1,B374)-I374*INDEX('Unit Economics'!$B$11:$D$11,1,B374)-L374)</f>
        <v/>
      </c>
      <c r="R374" s="8" t="str">
        <f aca="false">IF(B374="","",Q374-K374*(1+INDEX('Unit Economics'!$B$12:$D$12,1,B374)))</f>
        <v/>
      </c>
      <c r="S374" s="3" t="str">
        <f aca="false">IF(O374="","",IF(O374&lt;=INDEX('Unit Economics'!$B$19:$D$19,1,B374),"Scale",IF(O374&lt;=INDEX('Unit Economics'!$B$18:$D$18,1,B374),"Keep","Losing money")))</f>
        <v/>
      </c>
    </row>
    <row r="375" customFormat="false" ht="15" hidden="false" customHeight="true" outlineLevel="0" collapsed="false">
      <c r="J375" s="15"/>
      <c r="K375" s="15"/>
      <c r="L375" s="15"/>
      <c r="M375" s="14" t="str">
        <f aca="false">IF(E375&gt;0,F375/E375,"")</f>
        <v/>
      </c>
      <c r="N375" s="14" t="str">
        <f aca="false">IF(G375&gt;0,I375/G375,"")</f>
        <v/>
      </c>
      <c r="O375" s="8" t="str">
        <f aca="false">IF(AND(I375&gt;0,K375&gt;0),K375/I375,"")</f>
        <v/>
      </c>
      <c r="P375" s="9" t="str">
        <f aca="false">IF(K375&gt;0,J375/K375,"")</f>
        <v/>
      </c>
      <c r="Q375" s="8" t="str">
        <f aca="false">IF(B375="","",J375-J375*INDEX('Unit Economics'!$B$10:$D$10,1,B375)-I375*INDEX('Unit Economics'!$B$11:$D$11,1,B375)-L375)</f>
        <v/>
      </c>
      <c r="R375" s="8" t="str">
        <f aca="false">IF(B375="","",Q375-K375*(1+INDEX('Unit Economics'!$B$12:$D$12,1,B375)))</f>
        <v/>
      </c>
      <c r="S375" s="3" t="str">
        <f aca="false">IF(O375="","",IF(O375&lt;=INDEX('Unit Economics'!$B$19:$D$19,1,B375),"Scale",IF(O375&lt;=INDEX('Unit Economics'!$B$18:$D$18,1,B375),"Keep","Losing money")))</f>
        <v/>
      </c>
    </row>
    <row r="376" customFormat="false" ht="15" hidden="false" customHeight="true" outlineLevel="0" collapsed="false">
      <c r="J376" s="15"/>
      <c r="K376" s="15"/>
      <c r="L376" s="15"/>
      <c r="M376" s="14" t="str">
        <f aca="false">IF(E376&gt;0,F376/E376,"")</f>
        <v/>
      </c>
      <c r="N376" s="14" t="str">
        <f aca="false">IF(G376&gt;0,I376/G376,"")</f>
        <v/>
      </c>
      <c r="O376" s="8" t="str">
        <f aca="false">IF(AND(I376&gt;0,K376&gt;0),K376/I376,"")</f>
        <v/>
      </c>
      <c r="P376" s="9" t="str">
        <f aca="false">IF(K376&gt;0,J376/K376,"")</f>
        <v/>
      </c>
      <c r="Q376" s="8" t="str">
        <f aca="false">IF(B376="","",J376-J376*INDEX('Unit Economics'!$B$10:$D$10,1,B376)-I376*INDEX('Unit Economics'!$B$11:$D$11,1,B376)-L376)</f>
        <v/>
      </c>
      <c r="R376" s="8" t="str">
        <f aca="false">IF(B376="","",Q376-K376*(1+INDEX('Unit Economics'!$B$12:$D$12,1,B376)))</f>
        <v/>
      </c>
      <c r="S376" s="3" t="str">
        <f aca="false">IF(O376="","",IF(O376&lt;=INDEX('Unit Economics'!$B$19:$D$19,1,B376),"Scale",IF(O376&lt;=INDEX('Unit Economics'!$B$18:$D$18,1,B376),"Keep","Losing money")))</f>
        <v/>
      </c>
    </row>
    <row r="377" customFormat="false" ht="15" hidden="false" customHeight="true" outlineLevel="0" collapsed="false">
      <c r="J377" s="15"/>
      <c r="K377" s="15"/>
      <c r="L377" s="15"/>
      <c r="M377" s="14" t="str">
        <f aca="false">IF(E377&gt;0,F377/E377,"")</f>
        <v/>
      </c>
      <c r="N377" s="14" t="str">
        <f aca="false">IF(G377&gt;0,I377/G377,"")</f>
        <v/>
      </c>
      <c r="O377" s="8" t="str">
        <f aca="false">IF(AND(I377&gt;0,K377&gt;0),K377/I377,"")</f>
        <v/>
      </c>
      <c r="P377" s="9" t="str">
        <f aca="false">IF(K377&gt;0,J377/K377,"")</f>
        <v/>
      </c>
      <c r="Q377" s="8" t="str">
        <f aca="false">IF(B377="","",J377-J377*INDEX('Unit Economics'!$B$10:$D$10,1,B377)-I377*INDEX('Unit Economics'!$B$11:$D$11,1,B377)-L377)</f>
        <v/>
      </c>
      <c r="R377" s="8" t="str">
        <f aca="false">IF(B377="","",Q377-K377*(1+INDEX('Unit Economics'!$B$12:$D$12,1,B377)))</f>
        <v/>
      </c>
      <c r="S377" s="3" t="str">
        <f aca="false">IF(O377="","",IF(O377&lt;=INDEX('Unit Economics'!$B$19:$D$19,1,B377),"Scale",IF(O377&lt;=INDEX('Unit Economics'!$B$18:$D$18,1,B377),"Keep","Losing money")))</f>
        <v/>
      </c>
    </row>
    <row r="378" customFormat="false" ht="15" hidden="false" customHeight="true" outlineLevel="0" collapsed="false">
      <c r="J378" s="15"/>
      <c r="K378" s="15"/>
      <c r="L378" s="15"/>
      <c r="M378" s="14" t="str">
        <f aca="false">IF(E378&gt;0,F378/E378,"")</f>
        <v/>
      </c>
      <c r="N378" s="14" t="str">
        <f aca="false">IF(G378&gt;0,I378/G378,"")</f>
        <v/>
      </c>
      <c r="O378" s="8" t="str">
        <f aca="false">IF(AND(I378&gt;0,K378&gt;0),K378/I378,"")</f>
        <v/>
      </c>
      <c r="P378" s="9" t="str">
        <f aca="false">IF(K378&gt;0,J378/K378,"")</f>
        <v/>
      </c>
      <c r="Q378" s="8" t="str">
        <f aca="false">IF(B378="","",J378-J378*INDEX('Unit Economics'!$B$10:$D$10,1,B378)-I378*INDEX('Unit Economics'!$B$11:$D$11,1,B378)-L378)</f>
        <v/>
      </c>
      <c r="R378" s="8" t="str">
        <f aca="false">IF(B378="","",Q378-K378*(1+INDEX('Unit Economics'!$B$12:$D$12,1,B378)))</f>
        <v/>
      </c>
      <c r="S378" s="3" t="str">
        <f aca="false">IF(O378="","",IF(O378&lt;=INDEX('Unit Economics'!$B$19:$D$19,1,B378),"Scale",IF(O378&lt;=INDEX('Unit Economics'!$B$18:$D$18,1,B378),"Keep","Losing money")))</f>
        <v/>
      </c>
    </row>
    <row r="379" customFormat="false" ht="15" hidden="false" customHeight="true" outlineLevel="0" collapsed="false">
      <c r="J379" s="15"/>
      <c r="K379" s="15"/>
      <c r="L379" s="15"/>
      <c r="M379" s="14" t="str">
        <f aca="false">IF(E379&gt;0,F379/E379,"")</f>
        <v/>
      </c>
      <c r="N379" s="14" t="str">
        <f aca="false">IF(G379&gt;0,I379/G379,"")</f>
        <v/>
      </c>
      <c r="O379" s="8" t="str">
        <f aca="false">IF(AND(I379&gt;0,K379&gt;0),K379/I379,"")</f>
        <v/>
      </c>
      <c r="P379" s="9" t="str">
        <f aca="false">IF(K379&gt;0,J379/K379,"")</f>
        <v/>
      </c>
      <c r="Q379" s="8" t="str">
        <f aca="false">IF(B379="","",J379-J379*INDEX('Unit Economics'!$B$10:$D$10,1,B379)-I379*INDEX('Unit Economics'!$B$11:$D$11,1,B379)-L379)</f>
        <v/>
      </c>
      <c r="R379" s="8" t="str">
        <f aca="false">IF(B379="","",Q379-K379*(1+INDEX('Unit Economics'!$B$12:$D$12,1,B379)))</f>
        <v/>
      </c>
      <c r="S379" s="3" t="str">
        <f aca="false">IF(O379="","",IF(O379&lt;=INDEX('Unit Economics'!$B$19:$D$19,1,B379),"Scale",IF(O379&lt;=INDEX('Unit Economics'!$B$18:$D$18,1,B379),"Keep","Losing money")))</f>
        <v/>
      </c>
    </row>
    <row r="380" customFormat="false" ht="15" hidden="false" customHeight="true" outlineLevel="0" collapsed="false">
      <c r="J380" s="15"/>
      <c r="K380" s="15"/>
      <c r="L380" s="15"/>
      <c r="M380" s="14" t="str">
        <f aca="false">IF(E380&gt;0,F380/E380,"")</f>
        <v/>
      </c>
      <c r="N380" s="14" t="str">
        <f aca="false">IF(G380&gt;0,I380/G380,"")</f>
        <v/>
      </c>
      <c r="O380" s="8" t="str">
        <f aca="false">IF(AND(I380&gt;0,K380&gt;0),K380/I380,"")</f>
        <v/>
      </c>
      <c r="P380" s="9" t="str">
        <f aca="false">IF(K380&gt;0,J380/K380,"")</f>
        <v/>
      </c>
      <c r="Q380" s="8" t="str">
        <f aca="false">IF(B380="","",J380-J380*INDEX('Unit Economics'!$B$10:$D$10,1,B380)-I380*INDEX('Unit Economics'!$B$11:$D$11,1,B380)-L380)</f>
        <v/>
      </c>
      <c r="R380" s="8" t="str">
        <f aca="false">IF(B380="","",Q380-K380*(1+INDEX('Unit Economics'!$B$12:$D$12,1,B380)))</f>
        <v/>
      </c>
      <c r="S380" s="3" t="str">
        <f aca="false">IF(O380="","",IF(O380&lt;=INDEX('Unit Economics'!$B$19:$D$19,1,B380),"Scale",IF(O380&lt;=INDEX('Unit Economics'!$B$18:$D$18,1,B380),"Keep","Losing money")))</f>
        <v/>
      </c>
    </row>
    <row r="381" customFormat="false" ht="15" hidden="false" customHeight="true" outlineLevel="0" collapsed="false">
      <c r="J381" s="15"/>
      <c r="K381" s="15"/>
      <c r="L381" s="15"/>
      <c r="M381" s="14" t="str">
        <f aca="false">IF(E381&gt;0,F381/E381,"")</f>
        <v/>
      </c>
      <c r="N381" s="14" t="str">
        <f aca="false">IF(G381&gt;0,I381/G381,"")</f>
        <v/>
      </c>
      <c r="O381" s="8" t="str">
        <f aca="false">IF(AND(I381&gt;0,K381&gt;0),K381/I381,"")</f>
        <v/>
      </c>
      <c r="P381" s="9" t="str">
        <f aca="false">IF(K381&gt;0,J381/K381,"")</f>
        <v/>
      </c>
      <c r="Q381" s="8" t="str">
        <f aca="false">IF(B381="","",J381-J381*INDEX('Unit Economics'!$B$10:$D$10,1,B381)-I381*INDEX('Unit Economics'!$B$11:$D$11,1,B381)-L381)</f>
        <v/>
      </c>
      <c r="R381" s="8" t="str">
        <f aca="false">IF(B381="","",Q381-K381*(1+INDEX('Unit Economics'!$B$12:$D$12,1,B381)))</f>
        <v/>
      </c>
      <c r="S381" s="3" t="str">
        <f aca="false">IF(O381="","",IF(O381&lt;=INDEX('Unit Economics'!$B$19:$D$19,1,B381),"Scale",IF(O381&lt;=INDEX('Unit Economics'!$B$18:$D$18,1,B381),"Keep","Losing money")))</f>
        <v/>
      </c>
    </row>
    <row r="382" customFormat="false" ht="15" hidden="false" customHeight="true" outlineLevel="0" collapsed="false">
      <c r="J382" s="15"/>
      <c r="K382" s="15"/>
      <c r="L382" s="15"/>
      <c r="M382" s="14" t="str">
        <f aca="false">IF(E382&gt;0,F382/E382,"")</f>
        <v/>
      </c>
      <c r="N382" s="14" t="str">
        <f aca="false">IF(G382&gt;0,I382/G382,"")</f>
        <v/>
      </c>
      <c r="O382" s="8" t="str">
        <f aca="false">IF(AND(I382&gt;0,K382&gt;0),K382/I382,"")</f>
        <v/>
      </c>
      <c r="P382" s="9" t="str">
        <f aca="false">IF(K382&gt;0,J382/K382,"")</f>
        <v/>
      </c>
      <c r="Q382" s="8" t="str">
        <f aca="false">IF(B382="","",J382-J382*INDEX('Unit Economics'!$B$10:$D$10,1,B382)-I382*INDEX('Unit Economics'!$B$11:$D$11,1,B382)-L382)</f>
        <v/>
      </c>
      <c r="R382" s="8" t="str">
        <f aca="false">IF(B382="","",Q382-K382*(1+INDEX('Unit Economics'!$B$12:$D$12,1,B382)))</f>
        <v/>
      </c>
      <c r="S382" s="3" t="str">
        <f aca="false">IF(O382="","",IF(O382&lt;=INDEX('Unit Economics'!$B$19:$D$19,1,B382),"Scale",IF(O382&lt;=INDEX('Unit Economics'!$B$18:$D$18,1,B382),"Keep","Losing money")))</f>
        <v/>
      </c>
    </row>
    <row r="383" customFormat="false" ht="15" hidden="false" customHeight="true" outlineLevel="0" collapsed="false">
      <c r="J383" s="15"/>
      <c r="K383" s="15"/>
      <c r="L383" s="15"/>
      <c r="M383" s="14" t="str">
        <f aca="false">IF(E383&gt;0,F383/E383,"")</f>
        <v/>
      </c>
      <c r="N383" s="14" t="str">
        <f aca="false">IF(G383&gt;0,I383/G383,"")</f>
        <v/>
      </c>
      <c r="O383" s="8" t="str">
        <f aca="false">IF(AND(I383&gt;0,K383&gt;0),K383/I383,"")</f>
        <v/>
      </c>
      <c r="P383" s="9" t="str">
        <f aca="false">IF(K383&gt;0,J383/K383,"")</f>
        <v/>
      </c>
      <c r="Q383" s="8" t="str">
        <f aca="false">IF(B383="","",J383-J383*INDEX('Unit Economics'!$B$10:$D$10,1,B383)-I383*INDEX('Unit Economics'!$B$11:$D$11,1,B383)-L383)</f>
        <v/>
      </c>
      <c r="R383" s="8" t="str">
        <f aca="false">IF(B383="","",Q383-K383*(1+INDEX('Unit Economics'!$B$12:$D$12,1,B383)))</f>
        <v/>
      </c>
      <c r="S383" s="3" t="str">
        <f aca="false">IF(O383="","",IF(O383&lt;=INDEX('Unit Economics'!$B$19:$D$19,1,B383),"Scale",IF(O383&lt;=INDEX('Unit Economics'!$B$18:$D$18,1,B383),"Keep","Losing money")))</f>
        <v/>
      </c>
    </row>
    <row r="384" customFormat="false" ht="15" hidden="false" customHeight="true" outlineLevel="0" collapsed="false">
      <c r="J384" s="15"/>
      <c r="K384" s="15"/>
      <c r="L384" s="15"/>
      <c r="M384" s="14" t="str">
        <f aca="false">IF(E384&gt;0,F384/E384,"")</f>
        <v/>
      </c>
      <c r="N384" s="14" t="str">
        <f aca="false">IF(G384&gt;0,I384/G384,"")</f>
        <v/>
      </c>
      <c r="O384" s="8" t="str">
        <f aca="false">IF(AND(I384&gt;0,K384&gt;0),K384/I384,"")</f>
        <v/>
      </c>
      <c r="P384" s="9" t="str">
        <f aca="false">IF(K384&gt;0,J384/K384,"")</f>
        <v/>
      </c>
      <c r="Q384" s="8" t="str">
        <f aca="false">IF(B384="","",J384-J384*INDEX('Unit Economics'!$B$10:$D$10,1,B384)-I384*INDEX('Unit Economics'!$B$11:$D$11,1,B384)-L384)</f>
        <v/>
      </c>
      <c r="R384" s="8" t="str">
        <f aca="false">IF(B384="","",Q384-K384*(1+INDEX('Unit Economics'!$B$12:$D$12,1,B384)))</f>
        <v/>
      </c>
      <c r="S384" s="3" t="str">
        <f aca="false">IF(O384="","",IF(O384&lt;=INDEX('Unit Economics'!$B$19:$D$19,1,B384),"Scale",IF(O384&lt;=INDEX('Unit Economics'!$B$18:$D$18,1,B384),"Keep","Losing money")))</f>
        <v/>
      </c>
    </row>
    <row r="385" customFormat="false" ht="15" hidden="false" customHeight="true" outlineLevel="0" collapsed="false">
      <c r="J385" s="15"/>
      <c r="K385" s="15"/>
      <c r="L385" s="15"/>
      <c r="M385" s="14" t="str">
        <f aca="false">IF(E385&gt;0,F385/E385,"")</f>
        <v/>
      </c>
      <c r="N385" s="14" t="str">
        <f aca="false">IF(G385&gt;0,I385/G385,"")</f>
        <v/>
      </c>
      <c r="O385" s="8" t="str">
        <f aca="false">IF(AND(I385&gt;0,K385&gt;0),K385/I385,"")</f>
        <v/>
      </c>
      <c r="P385" s="9" t="str">
        <f aca="false">IF(K385&gt;0,J385/K385,"")</f>
        <v/>
      </c>
      <c r="Q385" s="8" t="str">
        <f aca="false">IF(B385="","",J385-J385*INDEX('Unit Economics'!$B$10:$D$10,1,B385)-I385*INDEX('Unit Economics'!$B$11:$D$11,1,B385)-L385)</f>
        <v/>
      </c>
      <c r="R385" s="8" t="str">
        <f aca="false">IF(B385="","",Q385-K385*(1+INDEX('Unit Economics'!$B$12:$D$12,1,B385)))</f>
        <v/>
      </c>
      <c r="S385" s="3" t="str">
        <f aca="false">IF(O385="","",IF(O385&lt;=INDEX('Unit Economics'!$B$19:$D$19,1,B385),"Scale",IF(O385&lt;=INDEX('Unit Economics'!$B$18:$D$18,1,B385),"Keep","Losing money")))</f>
        <v/>
      </c>
    </row>
    <row r="386" customFormat="false" ht="15" hidden="false" customHeight="true" outlineLevel="0" collapsed="false">
      <c r="J386" s="15"/>
      <c r="K386" s="15"/>
      <c r="L386" s="15"/>
      <c r="M386" s="14" t="str">
        <f aca="false">IF(E386&gt;0,F386/E386,"")</f>
        <v/>
      </c>
      <c r="N386" s="14" t="str">
        <f aca="false">IF(G386&gt;0,I386/G386,"")</f>
        <v/>
      </c>
      <c r="O386" s="8" t="str">
        <f aca="false">IF(AND(I386&gt;0,K386&gt;0),K386/I386,"")</f>
        <v/>
      </c>
      <c r="P386" s="9" t="str">
        <f aca="false">IF(K386&gt;0,J386/K386,"")</f>
        <v/>
      </c>
      <c r="Q386" s="8" t="str">
        <f aca="false">IF(B386="","",J386-J386*INDEX('Unit Economics'!$B$10:$D$10,1,B386)-I386*INDEX('Unit Economics'!$B$11:$D$11,1,B386)-L386)</f>
        <v/>
      </c>
      <c r="R386" s="8" t="str">
        <f aca="false">IF(B386="","",Q386-K386*(1+INDEX('Unit Economics'!$B$12:$D$12,1,B386)))</f>
        <v/>
      </c>
      <c r="S386" s="3" t="str">
        <f aca="false">IF(O386="","",IF(O386&lt;=INDEX('Unit Economics'!$B$19:$D$19,1,B386),"Scale",IF(O386&lt;=INDEX('Unit Economics'!$B$18:$D$18,1,B386),"Keep","Losing money")))</f>
        <v/>
      </c>
    </row>
    <row r="387" customFormat="false" ht="15" hidden="false" customHeight="true" outlineLevel="0" collapsed="false">
      <c r="J387" s="15"/>
      <c r="K387" s="15"/>
      <c r="L387" s="15"/>
      <c r="M387" s="14" t="str">
        <f aca="false">IF(E387&gt;0,F387/E387,"")</f>
        <v/>
      </c>
      <c r="N387" s="14" t="str">
        <f aca="false">IF(G387&gt;0,I387/G387,"")</f>
        <v/>
      </c>
      <c r="O387" s="8" t="str">
        <f aca="false">IF(AND(I387&gt;0,K387&gt;0),K387/I387,"")</f>
        <v/>
      </c>
      <c r="P387" s="9" t="str">
        <f aca="false">IF(K387&gt;0,J387/K387,"")</f>
        <v/>
      </c>
      <c r="Q387" s="8" t="str">
        <f aca="false">IF(B387="","",J387-J387*INDEX('Unit Economics'!$B$10:$D$10,1,B387)-I387*INDEX('Unit Economics'!$B$11:$D$11,1,B387)-L387)</f>
        <v/>
      </c>
      <c r="R387" s="8" t="str">
        <f aca="false">IF(B387="","",Q387-K387*(1+INDEX('Unit Economics'!$B$12:$D$12,1,B387)))</f>
        <v/>
      </c>
      <c r="S387" s="3" t="str">
        <f aca="false">IF(O387="","",IF(O387&lt;=INDEX('Unit Economics'!$B$19:$D$19,1,B387),"Scale",IF(O387&lt;=INDEX('Unit Economics'!$B$18:$D$18,1,B387),"Keep","Losing money")))</f>
        <v/>
      </c>
    </row>
    <row r="388" customFormat="false" ht="15" hidden="false" customHeight="true" outlineLevel="0" collapsed="false">
      <c r="J388" s="15"/>
      <c r="K388" s="15"/>
      <c r="L388" s="15"/>
      <c r="M388" s="14" t="str">
        <f aca="false">IF(E388&gt;0,F388/E388,"")</f>
        <v/>
      </c>
      <c r="N388" s="14" t="str">
        <f aca="false">IF(G388&gt;0,I388/G388,"")</f>
        <v/>
      </c>
      <c r="O388" s="8" t="str">
        <f aca="false">IF(AND(I388&gt;0,K388&gt;0),K388/I388,"")</f>
        <v/>
      </c>
      <c r="P388" s="9" t="str">
        <f aca="false">IF(K388&gt;0,J388/K388,"")</f>
        <v/>
      </c>
      <c r="Q388" s="8" t="str">
        <f aca="false">IF(B388="","",J388-J388*INDEX('Unit Economics'!$B$10:$D$10,1,B388)-I388*INDEX('Unit Economics'!$B$11:$D$11,1,B388)-L388)</f>
        <v/>
      </c>
      <c r="R388" s="8" t="str">
        <f aca="false">IF(B388="","",Q388-K388*(1+INDEX('Unit Economics'!$B$12:$D$12,1,B388)))</f>
        <v/>
      </c>
      <c r="S388" s="3" t="str">
        <f aca="false">IF(O388="","",IF(O388&lt;=INDEX('Unit Economics'!$B$19:$D$19,1,B388),"Scale",IF(O388&lt;=INDEX('Unit Economics'!$B$18:$D$18,1,B388),"Keep","Losing money")))</f>
        <v/>
      </c>
    </row>
    <row r="389" customFormat="false" ht="15" hidden="false" customHeight="true" outlineLevel="0" collapsed="false">
      <c r="J389" s="15"/>
      <c r="K389" s="15"/>
      <c r="L389" s="15"/>
      <c r="M389" s="14" t="str">
        <f aca="false">IF(E389&gt;0,F389/E389,"")</f>
        <v/>
      </c>
      <c r="N389" s="14" t="str">
        <f aca="false">IF(G389&gt;0,I389/G389,"")</f>
        <v/>
      </c>
      <c r="O389" s="8" t="str">
        <f aca="false">IF(AND(I389&gt;0,K389&gt;0),K389/I389,"")</f>
        <v/>
      </c>
      <c r="P389" s="9" t="str">
        <f aca="false">IF(K389&gt;0,J389/K389,"")</f>
        <v/>
      </c>
      <c r="Q389" s="8" t="str">
        <f aca="false">IF(B389="","",J389-J389*INDEX('Unit Economics'!$B$10:$D$10,1,B389)-I389*INDEX('Unit Economics'!$B$11:$D$11,1,B389)-L389)</f>
        <v/>
      </c>
      <c r="R389" s="8" t="str">
        <f aca="false">IF(B389="","",Q389-K389*(1+INDEX('Unit Economics'!$B$12:$D$12,1,B389)))</f>
        <v/>
      </c>
      <c r="S389" s="3" t="str">
        <f aca="false">IF(O389="","",IF(O389&lt;=INDEX('Unit Economics'!$B$19:$D$19,1,B389),"Scale",IF(O389&lt;=INDEX('Unit Economics'!$B$18:$D$18,1,B389),"Keep","Losing money")))</f>
        <v/>
      </c>
    </row>
    <row r="390" customFormat="false" ht="15" hidden="false" customHeight="true" outlineLevel="0" collapsed="false">
      <c r="J390" s="15"/>
      <c r="K390" s="15"/>
      <c r="L390" s="15"/>
      <c r="M390" s="14" t="str">
        <f aca="false">IF(E390&gt;0,F390/E390,"")</f>
        <v/>
      </c>
      <c r="N390" s="14" t="str">
        <f aca="false">IF(G390&gt;0,I390/G390,"")</f>
        <v/>
      </c>
      <c r="O390" s="8" t="str">
        <f aca="false">IF(AND(I390&gt;0,K390&gt;0),K390/I390,"")</f>
        <v/>
      </c>
      <c r="P390" s="9" t="str">
        <f aca="false">IF(K390&gt;0,J390/K390,"")</f>
        <v/>
      </c>
      <c r="Q390" s="8" t="str">
        <f aca="false">IF(B390="","",J390-J390*INDEX('Unit Economics'!$B$10:$D$10,1,B390)-I390*INDEX('Unit Economics'!$B$11:$D$11,1,B390)-L390)</f>
        <v/>
      </c>
      <c r="R390" s="8" t="str">
        <f aca="false">IF(B390="","",Q390-K390*(1+INDEX('Unit Economics'!$B$12:$D$12,1,B390)))</f>
        <v/>
      </c>
      <c r="S390" s="3" t="str">
        <f aca="false">IF(O390="","",IF(O390&lt;=INDEX('Unit Economics'!$B$19:$D$19,1,B390),"Scale",IF(O390&lt;=INDEX('Unit Economics'!$B$18:$D$18,1,B390),"Keep","Losing money")))</f>
        <v/>
      </c>
    </row>
    <row r="391" customFormat="false" ht="15" hidden="false" customHeight="true" outlineLevel="0" collapsed="false">
      <c r="J391" s="15"/>
      <c r="K391" s="15"/>
      <c r="L391" s="15"/>
      <c r="M391" s="14" t="str">
        <f aca="false">IF(E391&gt;0,F391/E391,"")</f>
        <v/>
      </c>
      <c r="N391" s="14" t="str">
        <f aca="false">IF(G391&gt;0,I391/G391,"")</f>
        <v/>
      </c>
      <c r="O391" s="8" t="str">
        <f aca="false">IF(AND(I391&gt;0,K391&gt;0),K391/I391,"")</f>
        <v/>
      </c>
      <c r="P391" s="9" t="str">
        <f aca="false">IF(K391&gt;0,J391/K391,"")</f>
        <v/>
      </c>
      <c r="Q391" s="8" t="str">
        <f aca="false">IF(B391="","",J391-J391*INDEX('Unit Economics'!$B$10:$D$10,1,B391)-I391*INDEX('Unit Economics'!$B$11:$D$11,1,B391)-L391)</f>
        <v/>
      </c>
      <c r="R391" s="8" t="str">
        <f aca="false">IF(B391="","",Q391-K391*(1+INDEX('Unit Economics'!$B$12:$D$12,1,B391)))</f>
        <v/>
      </c>
      <c r="S391" s="3" t="str">
        <f aca="false">IF(O391="","",IF(O391&lt;=INDEX('Unit Economics'!$B$19:$D$19,1,B391),"Scale",IF(O391&lt;=INDEX('Unit Economics'!$B$18:$D$18,1,B391),"Keep","Losing money")))</f>
        <v/>
      </c>
    </row>
    <row r="392" customFormat="false" ht="15" hidden="false" customHeight="true" outlineLevel="0" collapsed="false">
      <c r="J392" s="15"/>
      <c r="K392" s="15"/>
      <c r="L392" s="15"/>
      <c r="M392" s="14" t="str">
        <f aca="false">IF(E392&gt;0,F392/E392,"")</f>
        <v/>
      </c>
      <c r="N392" s="14" t="str">
        <f aca="false">IF(G392&gt;0,I392/G392,"")</f>
        <v/>
      </c>
      <c r="O392" s="8" t="str">
        <f aca="false">IF(AND(I392&gt;0,K392&gt;0),K392/I392,"")</f>
        <v/>
      </c>
      <c r="P392" s="9" t="str">
        <f aca="false">IF(K392&gt;0,J392/K392,"")</f>
        <v/>
      </c>
      <c r="Q392" s="8" t="str">
        <f aca="false">IF(B392="","",J392-J392*INDEX('Unit Economics'!$B$10:$D$10,1,B392)-I392*INDEX('Unit Economics'!$B$11:$D$11,1,B392)-L392)</f>
        <v/>
      </c>
      <c r="R392" s="8" t="str">
        <f aca="false">IF(B392="","",Q392-K392*(1+INDEX('Unit Economics'!$B$12:$D$12,1,B392)))</f>
        <v/>
      </c>
      <c r="S392" s="3" t="str">
        <f aca="false">IF(O392="","",IF(O392&lt;=INDEX('Unit Economics'!$B$19:$D$19,1,B392),"Scale",IF(O392&lt;=INDEX('Unit Economics'!$B$18:$D$18,1,B392),"Keep","Losing money")))</f>
        <v/>
      </c>
    </row>
    <row r="393" customFormat="false" ht="15" hidden="false" customHeight="true" outlineLevel="0" collapsed="false">
      <c r="J393" s="15"/>
      <c r="K393" s="15"/>
      <c r="L393" s="15"/>
      <c r="M393" s="14" t="str">
        <f aca="false">IF(E393&gt;0,F393/E393,"")</f>
        <v/>
      </c>
      <c r="N393" s="14" t="str">
        <f aca="false">IF(G393&gt;0,I393/G393,"")</f>
        <v/>
      </c>
      <c r="O393" s="8" t="str">
        <f aca="false">IF(AND(I393&gt;0,K393&gt;0),K393/I393,"")</f>
        <v/>
      </c>
      <c r="P393" s="9" t="str">
        <f aca="false">IF(K393&gt;0,J393/K393,"")</f>
        <v/>
      </c>
      <c r="Q393" s="8" t="str">
        <f aca="false">IF(B393="","",J393-J393*INDEX('Unit Economics'!$B$10:$D$10,1,B393)-I393*INDEX('Unit Economics'!$B$11:$D$11,1,B393)-L393)</f>
        <v/>
      </c>
      <c r="R393" s="8" t="str">
        <f aca="false">IF(B393="","",Q393-K393*(1+INDEX('Unit Economics'!$B$12:$D$12,1,B393)))</f>
        <v/>
      </c>
      <c r="S393" s="3" t="str">
        <f aca="false">IF(O393="","",IF(O393&lt;=INDEX('Unit Economics'!$B$19:$D$19,1,B393),"Scale",IF(O393&lt;=INDEX('Unit Economics'!$B$18:$D$18,1,B393),"Keep","Losing money")))</f>
        <v/>
      </c>
    </row>
    <row r="394" customFormat="false" ht="15" hidden="false" customHeight="true" outlineLevel="0" collapsed="false">
      <c r="J394" s="15"/>
      <c r="K394" s="15"/>
      <c r="L394" s="15"/>
      <c r="M394" s="14" t="str">
        <f aca="false">IF(E394&gt;0,F394/E394,"")</f>
        <v/>
      </c>
      <c r="N394" s="14" t="str">
        <f aca="false">IF(G394&gt;0,I394/G394,"")</f>
        <v/>
      </c>
      <c r="O394" s="8" t="str">
        <f aca="false">IF(AND(I394&gt;0,K394&gt;0),K394/I394,"")</f>
        <v/>
      </c>
      <c r="P394" s="9" t="str">
        <f aca="false">IF(K394&gt;0,J394/K394,"")</f>
        <v/>
      </c>
      <c r="Q394" s="8" t="str">
        <f aca="false">IF(B394="","",J394-J394*INDEX('Unit Economics'!$B$10:$D$10,1,B394)-I394*INDEX('Unit Economics'!$B$11:$D$11,1,B394)-L394)</f>
        <v/>
      </c>
      <c r="R394" s="8" t="str">
        <f aca="false">IF(B394="","",Q394-K394*(1+INDEX('Unit Economics'!$B$12:$D$12,1,B394)))</f>
        <v/>
      </c>
      <c r="S394" s="3" t="str">
        <f aca="false">IF(O394="","",IF(O394&lt;=INDEX('Unit Economics'!$B$19:$D$19,1,B394),"Scale",IF(O394&lt;=INDEX('Unit Economics'!$B$18:$D$18,1,B394),"Keep","Losing money")))</f>
        <v/>
      </c>
    </row>
    <row r="395" customFormat="false" ht="15" hidden="false" customHeight="true" outlineLevel="0" collapsed="false">
      <c r="J395" s="15"/>
      <c r="K395" s="15"/>
      <c r="L395" s="15"/>
      <c r="M395" s="14" t="str">
        <f aca="false">IF(E395&gt;0,F395/E395,"")</f>
        <v/>
      </c>
      <c r="N395" s="14" t="str">
        <f aca="false">IF(G395&gt;0,I395/G395,"")</f>
        <v/>
      </c>
      <c r="O395" s="8" t="str">
        <f aca="false">IF(AND(I395&gt;0,K395&gt;0),K395/I395,"")</f>
        <v/>
      </c>
      <c r="P395" s="9" t="str">
        <f aca="false">IF(K395&gt;0,J395/K395,"")</f>
        <v/>
      </c>
      <c r="Q395" s="8" t="str">
        <f aca="false">IF(B395="","",J395-J395*INDEX('Unit Economics'!$B$10:$D$10,1,B395)-I395*INDEX('Unit Economics'!$B$11:$D$11,1,B395)-L395)</f>
        <v/>
      </c>
      <c r="R395" s="8" t="str">
        <f aca="false">IF(B395="","",Q395-K395*(1+INDEX('Unit Economics'!$B$12:$D$12,1,B395)))</f>
        <v/>
      </c>
      <c r="S395" s="3" t="str">
        <f aca="false">IF(O395="","",IF(O395&lt;=INDEX('Unit Economics'!$B$19:$D$19,1,B395),"Scale",IF(O395&lt;=INDEX('Unit Economics'!$B$18:$D$18,1,B395),"Keep","Losing money")))</f>
        <v/>
      </c>
    </row>
    <row r="396" customFormat="false" ht="15" hidden="false" customHeight="true" outlineLevel="0" collapsed="false">
      <c r="J396" s="15"/>
      <c r="K396" s="15"/>
      <c r="L396" s="15"/>
      <c r="M396" s="14" t="str">
        <f aca="false">IF(E396&gt;0,F396/E396,"")</f>
        <v/>
      </c>
      <c r="N396" s="14" t="str">
        <f aca="false">IF(G396&gt;0,I396/G396,"")</f>
        <v/>
      </c>
      <c r="O396" s="8" t="str">
        <f aca="false">IF(AND(I396&gt;0,K396&gt;0),K396/I396,"")</f>
        <v/>
      </c>
      <c r="P396" s="9" t="str">
        <f aca="false">IF(K396&gt;0,J396/K396,"")</f>
        <v/>
      </c>
      <c r="Q396" s="8" t="str">
        <f aca="false">IF(B396="","",J396-J396*INDEX('Unit Economics'!$B$10:$D$10,1,B396)-I396*INDEX('Unit Economics'!$B$11:$D$11,1,B396)-L396)</f>
        <v/>
      </c>
      <c r="R396" s="8" t="str">
        <f aca="false">IF(B396="","",Q396-K396*(1+INDEX('Unit Economics'!$B$12:$D$12,1,B396)))</f>
        <v/>
      </c>
      <c r="S396" s="3" t="str">
        <f aca="false">IF(O396="","",IF(O396&lt;=INDEX('Unit Economics'!$B$19:$D$19,1,B396),"Scale",IF(O396&lt;=INDEX('Unit Economics'!$B$18:$D$18,1,B396),"Keep","Losing money")))</f>
        <v/>
      </c>
    </row>
    <row r="397" customFormat="false" ht="15" hidden="false" customHeight="true" outlineLevel="0" collapsed="false">
      <c r="J397" s="15"/>
      <c r="K397" s="15"/>
      <c r="L397" s="15"/>
      <c r="M397" s="14" t="str">
        <f aca="false">IF(E397&gt;0,F397/E397,"")</f>
        <v/>
      </c>
      <c r="N397" s="14" t="str">
        <f aca="false">IF(G397&gt;0,I397/G397,"")</f>
        <v/>
      </c>
      <c r="O397" s="8" t="str">
        <f aca="false">IF(AND(I397&gt;0,K397&gt;0),K397/I397,"")</f>
        <v/>
      </c>
      <c r="P397" s="9" t="str">
        <f aca="false">IF(K397&gt;0,J397/K397,"")</f>
        <v/>
      </c>
      <c r="Q397" s="8" t="str">
        <f aca="false">IF(B397="","",J397-J397*INDEX('Unit Economics'!$B$10:$D$10,1,B397)-I397*INDEX('Unit Economics'!$B$11:$D$11,1,B397)-L397)</f>
        <v/>
      </c>
      <c r="R397" s="8" t="str">
        <f aca="false">IF(B397="","",Q397-K397*(1+INDEX('Unit Economics'!$B$12:$D$12,1,B397)))</f>
        <v/>
      </c>
      <c r="S397" s="3" t="str">
        <f aca="false">IF(O397="","",IF(O397&lt;=INDEX('Unit Economics'!$B$19:$D$19,1,B397),"Scale",IF(O397&lt;=INDEX('Unit Economics'!$B$18:$D$18,1,B397),"Keep","Losing money")))</f>
        <v/>
      </c>
    </row>
    <row r="398" customFormat="false" ht="15" hidden="false" customHeight="true" outlineLevel="0" collapsed="false">
      <c r="J398" s="15"/>
      <c r="K398" s="15"/>
      <c r="L398" s="15"/>
      <c r="M398" s="14" t="str">
        <f aca="false">IF(E398&gt;0,F398/E398,"")</f>
        <v/>
      </c>
      <c r="N398" s="14" t="str">
        <f aca="false">IF(G398&gt;0,I398/G398,"")</f>
        <v/>
      </c>
      <c r="O398" s="8" t="str">
        <f aca="false">IF(AND(I398&gt;0,K398&gt;0),K398/I398,"")</f>
        <v/>
      </c>
      <c r="P398" s="9" t="str">
        <f aca="false">IF(K398&gt;0,J398/K398,"")</f>
        <v/>
      </c>
      <c r="Q398" s="8" t="str">
        <f aca="false">IF(B398="","",J398-J398*INDEX('Unit Economics'!$B$10:$D$10,1,B398)-I398*INDEX('Unit Economics'!$B$11:$D$11,1,B398)-L398)</f>
        <v/>
      </c>
      <c r="R398" s="8" t="str">
        <f aca="false">IF(B398="","",Q398-K398*(1+INDEX('Unit Economics'!$B$12:$D$12,1,B398)))</f>
        <v/>
      </c>
      <c r="S398" s="3" t="str">
        <f aca="false">IF(O398="","",IF(O398&lt;=INDEX('Unit Economics'!$B$19:$D$19,1,B398),"Scale",IF(O398&lt;=INDEX('Unit Economics'!$B$18:$D$18,1,B398),"Keep","Losing money")))</f>
        <v/>
      </c>
    </row>
    <row r="399" customFormat="false" ht="15" hidden="false" customHeight="true" outlineLevel="0" collapsed="false">
      <c r="J399" s="15"/>
      <c r="K399" s="15"/>
      <c r="L399" s="15"/>
      <c r="M399" s="14" t="str">
        <f aca="false">IF(E399&gt;0,F399/E399,"")</f>
        <v/>
      </c>
      <c r="N399" s="14" t="str">
        <f aca="false">IF(G399&gt;0,I399/G399,"")</f>
        <v/>
      </c>
      <c r="O399" s="8" t="str">
        <f aca="false">IF(AND(I399&gt;0,K399&gt;0),K399/I399,"")</f>
        <v/>
      </c>
      <c r="P399" s="9" t="str">
        <f aca="false">IF(K399&gt;0,J399/K399,"")</f>
        <v/>
      </c>
      <c r="Q399" s="8" t="str">
        <f aca="false">IF(B399="","",J399-J399*INDEX('Unit Economics'!$B$10:$D$10,1,B399)-I399*INDEX('Unit Economics'!$B$11:$D$11,1,B399)-L399)</f>
        <v/>
      </c>
      <c r="R399" s="8" t="str">
        <f aca="false">IF(B399="","",Q399-K399*(1+INDEX('Unit Economics'!$B$12:$D$12,1,B399)))</f>
        <v/>
      </c>
      <c r="S399" s="3" t="str">
        <f aca="false">IF(O399="","",IF(O399&lt;=INDEX('Unit Economics'!$B$19:$D$19,1,B399),"Scale",IF(O399&lt;=INDEX('Unit Economics'!$B$18:$D$18,1,B399),"Keep","Losing money")))</f>
        <v/>
      </c>
    </row>
    <row r="400" customFormat="false" ht="15" hidden="false" customHeight="true" outlineLevel="0" collapsed="false">
      <c r="J400" s="15"/>
      <c r="K400" s="15"/>
      <c r="L400" s="15"/>
      <c r="M400" s="14" t="str">
        <f aca="false">IF(E400&gt;0,F400/E400,"")</f>
        <v/>
      </c>
      <c r="N400" s="14" t="str">
        <f aca="false">IF(G400&gt;0,I400/G400,"")</f>
        <v/>
      </c>
      <c r="O400" s="8" t="str">
        <f aca="false">IF(AND(I400&gt;0,K400&gt;0),K400/I400,"")</f>
        <v/>
      </c>
      <c r="P400" s="9" t="str">
        <f aca="false">IF(K400&gt;0,J400/K400,"")</f>
        <v/>
      </c>
      <c r="Q400" s="8" t="str">
        <f aca="false">IF(B400="","",J400-J400*INDEX('Unit Economics'!$B$10:$D$10,1,B400)-I400*INDEX('Unit Economics'!$B$11:$D$11,1,B400)-L400)</f>
        <v/>
      </c>
      <c r="R400" s="8" t="str">
        <f aca="false">IF(B400="","",Q400-K400*(1+INDEX('Unit Economics'!$B$12:$D$12,1,B400)))</f>
        <v/>
      </c>
      <c r="S400" s="3" t="str">
        <f aca="false">IF(O400="","",IF(O400&lt;=INDEX('Unit Economics'!$B$19:$D$19,1,B400),"Scale",IF(O400&lt;=INDEX('Unit Economics'!$B$18:$D$18,1,B400),"Keep","Losing money")))</f>
        <v/>
      </c>
    </row>
    <row r="401" customFormat="false" ht="15" hidden="false" customHeight="true" outlineLevel="0" collapsed="false">
      <c r="J401" s="15"/>
      <c r="K401" s="15"/>
      <c r="L401" s="15"/>
      <c r="M401" s="14" t="str">
        <f aca="false">IF(E401&gt;0,F401/E401,"")</f>
        <v/>
      </c>
      <c r="N401" s="14" t="str">
        <f aca="false">IF(G401&gt;0,I401/G401,"")</f>
        <v/>
      </c>
      <c r="O401" s="8" t="str">
        <f aca="false">IF(AND(I401&gt;0,K401&gt;0),K401/I401,"")</f>
        <v/>
      </c>
      <c r="P401" s="9" t="str">
        <f aca="false">IF(K401&gt;0,J401/K401,"")</f>
        <v/>
      </c>
      <c r="Q401" s="8" t="str">
        <f aca="false">IF(B401="","",J401-J401*INDEX('Unit Economics'!$B$10:$D$10,1,B401)-I401*INDEX('Unit Economics'!$B$11:$D$11,1,B401)-L401)</f>
        <v/>
      </c>
      <c r="R401" s="8" t="str">
        <f aca="false">IF(B401="","",Q401-K401*(1+INDEX('Unit Economics'!$B$12:$D$12,1,B401)))</f>
        <v/>
      </c>
      <c r="S401" s="3" t="str">
        <f aca="false">IF(O401="","",IF(O401&lt;=INDEX('Unit Economics'!$B$19:$D$19,1,B401),"Scale",IF(O401&lt;=INDEX('Unit Economics'!$B$18:$D$18,1,B401),"Keep","Losing money")))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6"/>
  </cols>
  <sheetData>
    <row r="1" customFormat="false" ht="15" hidden="false" customHeight="true" outlineLevel="0" collapsed="false">
      <c r="A1" s="2" t="s">
        <v>56</v>
      </c>
    </row>
    <row r="2" customFormat="false" ht="15" hidden="false" customHeight="true" outlineLevel="0" collapsed="false">
      <c r="A2" s="4" t="s">
        <v>57</v>
      </c>
      <c r="B2" s="4" t="s">
        <v>42</v>
      </c>
      <c r="C2" s="4" t="s">
        <v>43</v>
      </c>
      <c r="D2" s="4" t="s">
        <v>58</v>
      </c>
      <c r="E2" s="4" t="s">
        <v>59</v>
      </c>
      <c r="F2" s="4" t="s">
        <v>49</v>
      </c>
    </row>
    <row r="3" customFormat="false" ht="15" hidden="false" customHeight="true" outlineLevel="0" collapsed="false">
      <c r="A3" s="3" t="str">
        <f aca="false">'Unit Economics'!B2</f>
        <v>Woven blanket</v>
      </c>
      <c r="B3" s="3" t="n">
        <f aca="false">SUMIFS('Daily Log'!I:I,'Daily Log'!B:B,1)</f>
        <v>1</v>
      </c>
      <c r="C3" s="8" t="n">
        <f aca="false">SUMIFS('Daily Log'!J:J,'Daily Log'!B:B,1)</f>
        <v>64</v>
      </c>
      <c r="D3" s="8" t="n">
        <f aca="false">SUMIFS('Daily Log'!K:K,'Daily Log'!B:B,1)</f>
        <v>0</v>
      </c>
      <c r="E3" s="8" t="n">
        <f aca="false">SUMIFS('Daily Log'!R:R,'Daily Log'!B:B,1)</f>
        <v>20.3</v>
      </c>
      <c r="F3" s="9" t="str">
        <f aca="false">IF(D3&gt;0,C3/D3,"")</f>
        <v/>
      </c>
    </row>
    <row r="4" customFormat="false" ht="15" hidden="false" customHeight="true" outlineLevel="0" collapsed="false">
      <c r="A4" s="3" t="str">
        <f aca="false">'Unit Economics'!C2</f>
        <v>Storybook</v>
      </c>
      <c r="B4" s="3" t="n">
        <f aca="false">SUMIFS('Daily Log'!I:I,'Daily Log'!B:B,2)</f>
        <v>0</v>
      </c>
      <c r="C4" s="8" t="n">
        <f aca="false">SUMIFS('Daily Log'!J:J,'Daily Log'!B:B,2)</f>
        <v>0</v>
      </c>
      <c r="D4" s="8" t="n">
        <f aca="false">SUMIFS('Daily Log'!K:K,'Daily Log'!B:B,2)</f>
        <v>0</v>
      </c>
      <c r="E4" s="8" t="n">
        <f aca="false">SUMIFS('Daily Log'!R:R,'Daily Log'!B:B,2)</f>
        <v>0</v>
      </c>
      <c r="F4" s="9" t="str">
        <f aca="false">IF(D4&gt;0,C4/D4,"")</f>
        <v/>
      </c>
    </row>
    <row r="5" customFormat="false" ht="15" hidden="false" customHeight="true" outlineLevel="0" collapsed="false">
      <c r="A5" s="3" t="str">
        <f aca="false">'Unit Economics'!D2</f>
        <v>Gift set (bundle)</v>
      </c>
      <c r="B5" s="3" t="n">
        <f aca="false">SUMIFS('Daily Log'!I:I,'Daily Log'!B:B,3)</f>
        <v>0</v>
      </c>
      <c r="C5" s="8" t="n">
        <f aca="false">SUMIFS('Daily Log'!J:J,'Daily Log'!B:B,3)</f>
        <v>0</v>
      </c>
      <c r="D5" s="8" t="n">
        <f aca="false">SUMIFS('Daily Log'!K:K,'Daily Log'!B:B,3)</f>
        <v>0</v>
      </c>
      <c r="E5" s="8" t="n">
        <f aca="false">SUMIFS('Daily Log'!R:R,'Daily Log'!B:B,3)</f>
        <v>0</v>
      </c>
      <c r="F5" s="9" t="str">
        <f aca="false">IF(D5&gt;0,C5/D5,"")</f>
        <v/>
      </c>
    </row>
    <row r="6" customFormat="false" ht="15" hidden="false" customHeight="true" outlineLevel="0" collapsed="false">
      <c r="A6" s="2" t="s">
        <v>60</v>
      </c>
      <c r="B6" s="2" t="n">
        <f aca="false">SUM(B3:B5)</f>
        <v>1</v>
      </c>
      <c r="C6" s="16" t="n">
        <f aca="false">SUM(C3:C5)</f>
        <v>64</v>
      </c>
      <c r="D6" s="16" t="n">
        <f aca="false">SUM(D3:D5)</f>
        <v>0</v>
      </c>
      <c r="E6" s="16" t="n">
        <f aca="false">SUM(E3:E5)</f>
        <v>20.3</v>
      </c>
      <c r="F6" s="9" t="str">
        <f aca="false">IF(D6&gt;0,C6/D6,"")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2026-10-08T06:40:16Z</dcterms:created>
  <dc:creator>openpyxl</dc:creator>
  <dc:description/>
  <dc:language>en-US</dc:language>
  <cp:lastModifiedBy/>
  <dcterms:modified xsi:type="dcterms:W3CDTF">2026-10-08T06:52:42Z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